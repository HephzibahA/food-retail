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5"/>
    <sheet state="visible" name="Monthly_summary" sheetId="2" r:id="rId6"/>
    <sheet state="visible" name="Dashboard" sheetId="3" r:id="rId7"/>
  </sheets>
  <definedNames/>
  <calcPr/>
  <pivotCaches>
    <pivotCache cacheId="0" r:id="rId8"/>
    <pivotCache cacheId="1" r:id="rId9"/>
    <pivotCache cacheId="2" r:id="rId10"/>
  </pivotCaches>
</workbook>
</file>

<file path=xl/sharedStrings.xml><?xml version="1.0" encoding="utf-8"?>
<sst xmlns="http://schemas.openxmlformats.org/spreadsheetml/2006/main" count="629" uniqueCount="58">
  <si>
    <t>Category</t>
  </si>
  <si>
    <t>Month</t>
  </si>
  <si>
    <t>Amount+</t>
  </si>
  <si>
    <t>Amount</t>
  </si>
  <si>
    <t>Transaction Type</t>
  </si>
  <si>
    <t>Protein</t>
  </si>
  <si>
    <t>Expenses</t>
  </si>
  <si>
    <t>Veggies</t>
  </si>
  <si>
    <t>Bread</t>
  </si>
  <si>
    <t>Gas</t>
  </si>
  <si>
    <t>Ingredients</t>
  </si>
  <si>
    <t>Market List</t>
  </si>
  <si>
    <t>Pepper &amp; Co</t>
  </si>
  <si>
    <t>Salaries</t>
  </si>
  <si>
    <t>Rent</t>
  </si>
  <si>
    <t>Other Expenses</t>
  </si>
  <si>
    <t>Electricity</t>
  </si>
  <si>
    <t>Main Dish</t>
  </si>
  <si>
    <t>Sales</t>
  </si>
  <si>
    <t>Special Meal</t>
  </si>
  <si>
    <t>Swallow Meal</t>
  </si>
  <si>
    <t>Extra</t>
  </si>
  <si>
    <t>Drink</t>
  </si>
  <si>
    <t>Packaging</t>
  </si>
  <si>
    <t>Petroleum</t>
  </si>
  <si>
    <t>Delivery Fee</t>
  </si>
  <si>
    <t>N/A</t>
  </si>
  <si>
    <t>OperationalCost</t>
  </si>
  <si>
    <t>CostOfSales</t>
  </si>
  <si>
    <t>GrossProfit</t>
  </si>
  <si>
    <t>NetProfit</t>
  </si>
  <si>
    <t>GrossMargin</t>
  </si>
  <si>
    <t>NetMargin</t>
  </si>
  <si>
    <t>SUM of GrossProfit</t>
  </si>
  <si>
    <t>SUM of NetProfit</t>
  </si>
  <si>
    <t>Grand Total</t>
  </si>
  <si>
    <t>SUM of OperationalCost</t>
  </si>
  <si>
    <t>SUM of CostOfSales</t>
  </si>
  <si>
    <t>SUM of Sales</t>
  </si>
  <si>
    <t>SUM of Amount+</t>
  </si>
  <si>
    <t>Month - Year-Month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</si>
  <si>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</si>
  <si>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</si>
  <si>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</si>
  <si>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</si>
  <si>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</si>
  <si>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</si>
  <si>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</si>
  <si>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</si>
  <si>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</si>
  <si>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</si>
  <si>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</si>
  <si>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2025-Dec</t>
  </si>
  <si>
    <t>2026-Jan</t>
  </si>
  <si>
    <t>2026-Feb</t>
  </si>
  <si>
    <t>2026-Mar</t>
  </si>
  <si>
    <t>SUM of GrossMargin</t>
  </si>
  <si>
    <t>SUM of NetMargin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</si>
</sst>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 &quot;mmm&quot; &quot;yyyy"/>
    <numFmt numFmtId="166" formatCode="m/d/yyyy h:mm:ss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5" xfId="0" applyFont="1" applyNumberFormat="1"/>
    <xf borderId="0" fillId="0" fontId="1" numFmtId="3" xfId="0" applyAlignment="1" applyFont="1" applyNumberFormat="1">
      <alignment vertical="bottom"/>
    </xf>
    <xf borderId="0" fillId="0" fontId="1" numFmtId="3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3" xfId="0" applyFont="1" applyNumberForma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165" xfId="0" applyFont="1" applyNumberFormat="1"/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165" xfId="0" applyAlignment="1" applyFont="1" applyNumberFormat="1">
      <alignment readingOrder="0"/>
    </xf>
    <xf borderId="0" fillId="0" fontId="4" numFmtId="3" xfId="0" applyFont="1" applyNumberForma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164" xfId="0" applyFont="1" applyNumberFormat="1"/>
    <xf borderId="0" fillId="0" fontId="4" numFmtId="0" xfId="0" applyAlignment="1" applyFont="1">
      <alignment horizontal="left"/>
    </xf>
    <xf borderId="0" fillId="0" fontId="4" numFmtId="166" xfId="0" applyFont="1" applyNumberFormat="1"/>
    <xf borderId="0" fillId="0" fontId="4" numFmtId="165" xfId="0" applyAlignment="1" applyFont="1" applyNumberFormat="1">
      <alignment horizontal="left"/>
    </xf>
    <xf borderId="0" fillId="0" fontId="4" numFmtId="10" xfId="0" applyAlignment="1" applyFont="1" applyNumberFormat="1">
      <alignment horizontal="left"/>
    </xf>
    <xf borderId="0" fillId="0" fontId="3" numFmtId="3" xfId="0" applyAlignment="1" applyFont="1" applyNumberFormat="1">
      <alignment horizontal="left" vertical="bottom"/>
    </xf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GrossProfit and SUM of NetProfit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Dashboard!$A$3:$A$18</c:f>
            </c:strRef>
          </c:cat>
          <c:val>
            <c:numRef>
              <c:f>Dashboard!$B$3:$B$18</c:f>
              <c:numCache/>
            </c:numRef>
          </c:val>
          <c:smooth val="0"/>
        </c:ser>
        <c:ser>
          <c:idx val="1"/>
          <c:order val="1"/>
          <c:tx>
            <c:strRef>
              <c:f>Dashboard!$C$2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Dashboard!$A$3:$A$18</c:f>
            </c:strRef>
          </c:cat>
          <c:val>
            <c:numRef>
              <c:f>Dashboard!$C$3:$C$18</c:f>
              <c:numCache/>
            </c:numRef>
          </c:val>
          <c:smooth val="0"/>
        </c:ser>
        <c:axId val="179623141"/>
        <c:axId val="270710213"/>
      </c:lineChart>
      <c:catAx>
        <c:axId val="179623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710213"/>
      </c:catAx>
      <c:valAx>
        <c:axId val="270710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231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Inflow and Outflow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Dashboard!$B$24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Dashboard!$A$25:$A$39</c:f>
            </c:strRef>
          </c:cat>
          <c:val>
            <c:numRef>
              <c:f>Dashboard!$B$25:$B$39</c:f>
              <c:numCache/>
            </c:numRef>
          </c:val>
        </c:ser>
        <c:ser>
          <c:idx val="1"/>
          <c:order val="1"/>
          <c:tx>
            <c:strRef>
              <c:f>Dashboard!$C$24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Dashboard!$A$25:$A$39</c:f>
            </c:strRef>
          </c:cat>
          <c:val>
            <c:numRef>
              <c:f>Dashboard!$C$25:$C$39</c:f>
              <c:numCache/>
            </c:numRef>
          </c:val>
        </c:ser>
        <c:ser>
          <c:idx val="2"/>
          <c:order val="2"/>
          <c:tx>
            <c:strRef>
              <c:f>Dashboard!$D$24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Dashboard!$A$25:$A$39</c:f>
            </c:strRef>
          </c:cat>
          <c:val>
            <c:numRef>
              <c:f>Dashboard!$D$25:$D$39</c:f>
              <c:numCache/>
            </c:numRef>
          </c:val>
        </c:ser>
        <c:overlap val="100"/>
        <c:axId val="647259390"/>
        <c:axId val="1761733071"/>
      </c:barChart>
      <c:catAx>
        <c:axId val="647259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733071"/>
      </c:catAx>
      <c:valAx>
        <c:axId val="1761733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7259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Electricity, Petroleum, Rent and Salaries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Dashboard!$B$43:$B$44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Dashboard!$A$45:$A$59</c:f>
            </c:strRef>
          </c:cat>
          <c:val>
            <c:numRef>
              <c:f>Dashboard!$B$45:$B$59</c:f>
              <c:numCache/>
            </c:numRef>
          </c:val>
        </c:ser>
        <c:ser>
          <c:idx val="1"/>
          <c:order val="1"/>
          <c:tx>
            <c:strRef>
              <c:f>Dashboard!$C$43:$C$44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Dashboard!$A$45:$A$59</c:f>
            </c:strRef>
          </c:cat>
          <c:val>
            <c:numRef>
              <c:f>Dashboard!$C$45:$C$59</c:f>
              <c:numCache/>
            </c:numRef>
          </c:val>
        </c:ser>
        <c:ser>
          <c:idx val="2"/>
          <c:order val="2"/>
          <c:tx>
            <c:strRef>
              <c:f>Dashboard!$D$43:$D$44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Dashboard!$A$45:$A$59</c:f>
            </c:strRef>
          </c:cat>
          <c:val>
            <c:numRef>
              <c:f>Dashboard!$D$45:$D$59</c:f>
              <c:numCache/>
            </c:numRef>
          </c:val>
        </c:ser>
        <c:ser>
          <c:idx val="3"/>
          <c:order val="3"/>
          <c:tx>
            <c:strRef>
              <c:f>Dashboard!$E$43:$E$44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Dashboard!$A$45:$A$59</c:f>
            </c:strRef>
          </c:cat>
          <c:val>
            <c:numRef>
              <c:f>Dashboard!$E$45:$E$59</c:f>
              <c:numCache/>
            </c:numRef>
          </c:val>
        </c:ser>
        <c:overlap val="100"/>
        <c:axId val="337527654"/>
        <c:axId val="1822138732"/>
      </c:barChart>
      <c:catAx>
        <c:axId val="3375276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 - Year-Month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138732"/>
      </c:catAx>
      <c:valAx>
        <c:axId val="18221387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75276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Gross vs Net Profit Margin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Dashboard!$B$80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Dashboard!$A$81:$A$95</c:f>
            </c:strRef>
          </c:cat>
          <c:val>
            <c:numRef>
              <c:f>Dashboard!$B$81:$B$95</c:f>
              <c:numCache/>
            </c:numRef>
          </c:val>
          <c:smooth val="0"/>
        </c:ser>
        <c:ser>
          <c:idx val="1"/>
          <c:order val="1"/>
          <c:tx>
            <c:strRef>
              <c:f>Dashboard!$C$80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Dashboard!$A$81:$A$95</c:f>
            </c:strRef>
          </c:cat>
          <c:val>
            <c:numRef>
              <c:f>Dashboard!$C$81:$C$95</c:f>
              <c:numCache/>
            </c:numRef>
          </c:val>
          <c:smooth val="0"/>
        </c:ser>
        <c:axId val="1733081197"/>
        <c:axId val="1743135328"/>
      </c:lineChart>
      <c:catAx>
        <c:axId val="1733081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135328"/>
      </c:catAx>
      <c:valAx>
        <c:axId val="1743135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081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</xdr:colOff>
      <xdr:row>22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38100</xdr:colOff>
      <xdr:row>42</xdr:row>
      <xdr:rowOff>0</xdr:rowOff>
    </xdr:from>
    <xdr:ext cx="5715000" cy="3657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9525</xdr:colOff>
      <xdr:row>79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6" sheet="Monthly_summary"/>
  </cacheSource>
  <cacheFields>
    <cacheField name="Month" numFmtId="164">
      <sharedItems containsSemiMixedTypes="0" containsDate="1" containsString="0"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</sharedItems>
    </cacheField>
    <cacheField name="Sales" numFmtId="3">
      <sharedItems containsSemiMixedTypes="0" containsString="0" containsNumber="1">
        <n v="2.06548625E7"/>
        <n v="1.782845E7"/>
        <n v="1.50269925E7"/>
        <n v="1.3758945E7"/>
        <n v="1.51338275E7"/>
        <n v="1.61E7"/>
        <n v="1.62898075E7"/>
        <n v="1.46694575E7"/>
        <n v="1.4757145E7"/>
        <n v="1.411096E7"/>
        <n v="1.109267E7"/>
        <n v="1.0207745E7"/>
        <n v="1.20958725E7"/>
      </sharedItems>
    </cacheField>
    <cacheField name="Expenses" numFmtId="3">
      <sharedItems containsSemiMixedTypes="0" containsString="0" containsNumber="1">
        <n v="1.006809935E7"/>
        <n v="9178495.0"/>
        <n v="9062393.3"/>
        <n v="9411174.5"/>
        <n v="9623464.5"/>
        <n v="1.04713365E7"/>
        <n v="1.24746135E7"/>
        <n v="1.0108799E7"/>
        <n v="8603999.85"/>
        <n v="1.02701325E7"/>
        <n v="1.15661135E7"/>
        <n v="1.12294625E7"/>
        <n v="5690901.5"/>
        <n v="6994035.5"/>
        <n v="7597043.75"/>
      </sharedItems>
    </cacheField>
    <cacheField name="OperationalCost" numFmtId="3">
      <sharedItems containsSemiMixedTypes="0" containsString="0" containsNumber="1">
        <n v="-931499.9999999999"/>
        <n v="-816500.0"/>
        <n v="-759000.0"/>
        <n v="-799250.0"/>
        <n v="-845250.0"/>
        <n v="-937250.0"/>
        <n v="-879750.0"/>
        <n v="-874000.0"/>
      </sharedItems>
    </cacheField>
    <cacheField name="CostOfSales" numFmtId="3">
      <sharedItems containsSemiMixedTypes="0" containsString="0" containsNumber="1">
        <n v="-9136599.35"/>
        <n v="-8361995.0"/>
        <n v="-8245893.299999999"/>
        <n v="-8652174.5"/>
        <n v="-8864464.5"/>
        <n v="-9672086.5"/>
        <n v="-1.16753635E7"/>
        <n v="-9263549.0"/>
        <n v="-7758749.849999999"/>
        <n v="-9332882.5"/>
        <n v="-1.06863635E7"/>
        <n v="-1.03554625E7"/>
        <n v="-4874401.5"/>
        <n v="-6194785.5"/>
        <n v="-6797793.75"/>
      </sharedItems>
    </cacheField>
    <cacheField name="GrossProfit" numFmtId="3">
      <sharedItems containsSemiMixedTypes="0" containsString="0" containsNumber="1">
        <n v="1.151826315E7"/>
        <n v="9466455.0"/>
        <n v="6781099.200000001"/>
        <n v="5106770.5"/>
        <n v="6269363.0"/>
        <n v="5461741.0"/>
        <n v="4424636.5"/>
        <n v="7026258.5"/>
        <n v="6910707.650000001"/>
        <n v="5336575.0"/>
        <n v="4070781.5"/>
        <n v="3755497.5"/>
        <n v="6218268.5"/>
        <n v="4012959.5"/>
        <n v="5298078.75"/>
      </sharedItems>
    </cacheField>
    <cacheField name="NetProfit" numFmtId="3">
      <sharedItems containsSemiMixedTypes="0" containsString="0" containsNumber="1">
        <n v="1.058676315E7"/>
        <n v="8649955.0"/>
        <n v="5964599.200000001"/>
        <n v="4347770.5"/>
        <n v="5510363.0"/>
        <n v="4662491.0"/>
        <n v="3625386.5"/>
        <n v="6181008.5"/>
        <n v="6065457.650000001"/>
        <n v="4399325.0"/>
        <n v="3191031.5"/>
        <n v="2881497.5"/>
        <n v="5401768.5"/>
        <n v="3213709.5"/>
        <n v="4498828.7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6" sheet="Monthly_summary"/>
  </cacheSource>
  <cacheFields>
    <cacheField name="Month" numFmtId="164">
      <sharedItems containsSemiMixedTypes="0" containsDate="1" containsString="0"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</sharedItems>
    </cacheField>
    <cacheField name="Sales" numFmtId="3">
      <sharedItems containsSemiMixedTypes="0" containsString="0" containsNumber="1">
        <n v="2.06548625E7"/>
        <n v="1.782845E7"/>
        <n v="1.50269925E7"/>
        <n v="1.3758945E7"/>
        <n v="1.51338275E7"/>
        <n v="1.61E7"/>
        <n v="1.62898075E7"/>
        <n v="1.46694575E7"/>
        <n v="1.4757145E7"/>
        <n v="1.411096E7"/>
        <n v="1.109267E7"/>
        <n v="1.0207745E7"/>
        <n v="1.20958725E7"/>
      </sharedItems>
    </cacheField>
    <cacheField name="Expenses" numFmtId="3">
      <sharedItems containsSemiMixedTypes="0" containsString="0" containsNumber="1">
        <n v="1.006809935E7"/>
        <n v="9178495.0"/>
        <n v="9062393.3"/>
        <n v="9411174.5"/>
        <n v="9623464.5"/>
        <n v="1.04713365E7"/>
        <n v="1.24746135E7"/>
        <n v="1.0108799E7"/>
        <n v="8603999.85"/>
        <n v="1.02701325E7"/>
        <n v="1.15661135E7"/>
        <n v="1.12294625E7"/>
        <n v="5690901.5"/>
        <n v="6994035.5"/>
        <n v="7597043.75"/>
      </sharedItems>
    </cacheField>
    <cacheField name="OperationalCost" numFmtId="3">
      <sharedItems containsSemiMixedTypes="0" containsString="0" containsNumber="1">
        <n v="-931499.9999999999"/>
        <n v="-816500.0"/>
        <n v="-759000.0"/>
        <n v="-799250.0"/>
        <n v="-845250.0"/>
        <n v="-937250.0"/>
        <n v="-879750.0"/>
        <n v="-874000.0"/>
      </sharedItems>
    </cacheField>
    <cacheField name="CostOfSales" numFmtId="3">
      <sharedItems containsSemiMixedTypes="0" containsString="0" containsNumber="1">
        <n v="-9136599.35"/>
        <n v="-8361995.0"/>
        <n v="-8245893.299999999"/>
        <n v="-8652174.5"/>
        <n v="-8864464.5"/>
        <n v="-9672086.5"/>
        <n v="-1.16753635E7"/>
        <n v="-9263549.0"/>
        <n v="-7758749.849999999"/>
        <n v="-9332882.5"/>
        <n v="-1.06863635E7"/>
        <n v="-1.03554625E7"/>
        <n v="-4874401.5"/>
        <n v="-6194785.5"/>
        <n v="-6797793.75"/>
      </sharedItems>
    </cacheField>
    <cacheField name="GrossProfit" numFmtId="3">
      <sharedItems containsSemiMixedTypes="0" containsString="0" containsNumber="1">
        <n v="1.151826315E7"/>
        <n v="9466455.0"/>
        <n v="6781099.200000001"/>
        <n v="5106770.5"/>
        <n v="6269363.0"/>
        <n v="5461741.0"/>
        <n v="4424636.5"/>
        <n v="7026258.5"/>
        <n v="6910707.650000001"/>
        <n v="5336575.0"/>
        <n v="4070781.5"/>
        <n v="3755497.5"/>
        <n v="6218268.5"/>
        <n v="4012959.5"/>
        <n v="5298078.75"/>
      </sharedItems>
    </cacheField>
    <cacheField name="NetProfit" numFmtId="3">
      <sharedItems containsSemiMixedTypes="0" containsString="0" containsNumber="1">
        <n v="1.058676315E7"/>
        <n v="8649955.0"/>
        <n v="5964599.200000001"/>
        <n v="4347770.5"/>
        <n v="5510363.0"/>
        <n v="4662491.0"/>
        <n v="3625386.5"/>
        <n v="6181008.5"/>
        <n v="6065457.650000001"/>
        <n v="4399325.0"/>
        <n v="3191031.5"/>
        <n v="2881497.5"/>
        <n v="5401768.5"/>
        <n v="3213709.5"/>
        <n v="4498828.75"/>
      </sharedItems>
    </cacheField>
    <cacheField name="GrossMargin" numFmtId="10">
      <sharedItems containsSemiMixedTypes="0" containsString="0" containsNumber="1">
        <n v="0.5576538284871178"/>
        <n v="0.5309746500677288"/>
        <n v="0.4512612354068854"/>
        <n v="0.3711600344357798"/>
        <n v="0.4142615607320752"/>
        <n v="0.3608962108230717"/>
        <n v="0.27482214285714285"/>
        <n v="0.4313285163130381"/>
        <n v="0.47109497062178346"/>
        <n v="0.3637881632637062"/>
        <n v="0.2758515620738293"/>
        <n v="0.26614046811839875"/>
        <n v="0.5605745505816003"/>
        <n v="0.3931288937958384"/>
        <n v="0.43800715905363585"/>
      </sharedItems>
    </cacheField>
    <cacheField name="NetMargin" numFmtId="10">
      <sharedItems containsSemiMixedTypes="0" containsString="0" containsNumber="1">
        <n v="0.5125554890525174"/>
        <n v="0.4851770625040315"/>
        <n v="0.39692567890747277"/>
        <n v="0.3159959211989001"/>
        <n v="0.3641090134006087"/>
        <n v="0.30808405870887584"/>
        <n v="0.22517928571428572"/>
        <n v="0.37944024200408755"/>
        <n v="0.4134752529192031"/>
        <n v="0.2998969116615253"/>
        <n v="0.21623637227932638"/>
        <n v="0.20420279697483373"/>
        <n v="0.48696738476850027"/>
        <n v="0.31483050370086635"/>
        <n v="0.371930900395982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79" sheet="Analysis"/>
  </cacheSource>
  <cacheFields>
    <cacheField name="Category" numFmtId="0">
      <sharedItems>
        <s v="Protein"/>
        <s v="Veggies"/>
        <s v="Bread"/>
        <s v="Gas"/>
        <s v="Ingredients"/>
        <s v="Market List"/>
        <s v="Pepper &amp; Co"/>
        <s v="Salaries"/>
        <s v="Rent"/>
        <s v="Other Expenses"/>
        <s v="Electricity"/>
        <s v="Main Dish"/>
        <s v="Special Meal"/>
        <s v="Swallow Meal"/>
        <s v="Extra"/>
        <s v="Drink"/>
        <s v="Packaging"/>
        <s v="Petroleum"/>
        <s v="Delivery Fee"/>
      </sharedItems>
    </cacheField>
    <cacheField name="Month" numFmtId="165">
      <sharedItems containsSemiMixedTypes="0" containsDate="1" containsString="0">
        <d v="2025-01-0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9T00:00:00Z"/>
        <d v="2026-01-10T00:00:00Z"/>
        <d v="2026-01-11T00:00:00Z"/>
        <d v="2026-01-12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</sharedItems>
    </cacheField>
    <cacheField name="Amount+" numFmtId="3">
      <sharedItems containsSemiMixedTypes="0" containsString="0" containsNumber="1">
        <n v="3517849.9999999995"/>
        <n v="133400.0"/>
        <n v="45080.0"/>
        <n v="331142.5"/>
        <n v="593400.0"/>
        <n v="1187432.5"/>
        <n v="2848849.0"/>
        <n v="770499.9999999999"/>
        <n v="114999.99999999999"/>
        <n v="479445.35"/>
        <n v="46000.0"/>
        <n v="1.1621923E7"/>
        <n v="2518500.0"/>
        <n v="1127000.0"/>
        <n v="4417150.0"/>
        <n v="883947.4999999999"/>
        <n v="86342.0"/>
        <n v="3279995.4999999995"/>
        <n v="186875.0"/>
        <n v="71702.5"/>
        <n v="146487.0"/>
        <n v="355637.5"/>
        <n v="1326525.0"/>
        <n v="1228085.0"/>
        <n v="822249.9999999999"/>
        <n v="655500.0"/>
        <n v="452697.49999999994"/>
        <n v="491739.99999999994"/>
        <n v="5953780.0"/>
        <n v="5141650.0"/>
        <n v="1231650.0"/>
        <n v="4779975.0"/>
        <n v="602600.0"/>
        <n v="118794.99999999999"/>
        <n v="3326029.9999999995"/>
        <n v="53589.99999999999"/>
        <n v="95449.99999999999"/>
        <n v="33810.0"/>
        <n v="389418.74999999994"/>
        <n v="1652319.9999999998"/>
        <n v="1573429.9999999998"/>
        <n v="944149.9999999999"/>
        <n v="177694.55"/>
        <n v="5221690.0"/>
        <n v="4202560.0"/>
        <n v="1187375.0"/>
        <n v="3697364.9999999995"/>
        <n v="630775.0"/>
        <n v="87227.5"/>
        <n v="3735521.9999999995"/>
        <n v="164450.0"/>
        <n v="28174.999999999996"/>
        <n v="362250.0"/>
        <n v="1360220.0"/>
        <n v="1513054.9999999998"/>
        <n v="958317.9999999999"/>
        <n v="57499.99999999999"/>
        <n v="586500.0"/>
        <n v="496374.49999999994"/>
        <n v="5159130.0"/>
        <n v="3220574.9999999995"/>
        <n v="1113200.0"/>
        <n v="3770389.9999999995"/>
        <n v="400774.99999999994"/>
        <n v="94874.99999999999"/>
        <n v="4418645.0"/>
        <n v="206999.99999999997"/>
        <n v="80500.0"/>
        <n v="22770.0"/>
        <n v="277989.5"/>
        <n v="1139075.0"/>
        <n v="1496840.0"/>
        <n v="644000.0"/>
        <n v="577645.0"/>
        <n v="5451690.0"/>
        <n v="3500024.9999999995"/>
        <n v="937249.9999999999"/>
        <n v="4833105.0"/>
        <n v="351325.0"/>
        <n v="60432.49999999999"/>
        <n v="4585722.75"/>
        <n v="296700.0"/>
        <n v="108674.99999999999"/>
        <n v="179055.0"/>
        <n v="205648.74999999997"/>
        <n v="1512744.4999999998"/>
        <n v="1437500.0"/>
        <n v="552000.0"/>
        <n v="626750.0"/>
        <n v="794040.4999999999"/>
        <n v="4574838.0"/>
        <n v="237934.99999999997"/>
        <n v="104649.99999999999"/>
        <n v="353912.5"/>
        <n v="2332660.0"/>
        <n v="1598212.4999999998"/>
        <n v="1500060.0"/>
        <n v="5634275.5"/>
        <n v="4365400.0"/>
        <n v="1463455.5"/>
        <n v="3917325.4999999995"/>
        <n v="657880.5"/>
        <n v="61662.99999999999"/>
        <n v="4658977.75"/>
        <n v="505999.99999999994"/>
        <n v="107007.49999999999"/>
        <n v="36340.0"/>
        <n v="196649.99999999997"/>
        <n v="1274303.5"/>
        <n v="1305250.0"/>
        <n v="883165.4999999999"/>
        <n v="69000.0"/>
        <n v="661250.0"/>
        <n v="295854.75"/>
        <n v="4961801.5"/>
        <n v="5177265.5"/>
        <n v="1002454.9999999999"/>
        <n v="4575700.5"/>
        <n v="519799.99999999994"/>
        <n v="52784.99999999999"/>
        <n v="3901984.4999999995"/>
        <n v="442749.99999999994"/>
        <n v="124199.99999999999"/>
        <n v="55372.49999999999"/>
        <n v="206424.99999999997"/>
        <n v="1124125.0"/>
        <n v="901024.9999999999"/>
        <n v="730250.0"/>
        <n v="272617.85"/>
        <n v="4759735.0"/>
        <n v="4257300.0"/>
        <n v="817074.9999999999"/>
        <n v="4122979.9999999995"/>
        <n v="537165.0"/>
        <n v="175202.5"/>
        <n v="3815147.9999999995"/>
        <n v="345920.0"/>
        <n v="186300.0"/>
        <n v="115459.99999999999"/>
        <n v="340572.5"/>
        <n v="1267070.0"/>
        <n v="1020624.9999999999"/>
        <n v="993024.9999999999"/>
        <n v="695750.0"/>
        <n v="1248762.0"/>
        <n v="4881232.5"/>
        <n v="431824.99999999994"/>
        <n v="160482.5"/>
        <n v="110802.49999999999"/>
        <n v="318320.0"/>
        <n v="1639899.9999999998"/>
        <n v="853472.4999999999"/>
        <n v="1210950.0"/>
        <n v="72323.5"/>
        <n v="1007054.9999999999"/>
        <n v="4469475.0"/>
        <n v="4953050.0"/>
        <n v="768774.9999999999"/>
        <n v="3904939.9999999995"/>
        <n v="476099.99999999994"/>
        <n v="184805.0"/>
        <n v="4452225.0"/>
        <n v="450799.99999999994"/>
        <n v="121612.49999999999"/>
        <n v="107927.49999999999"/>
        <n v="267662.5"/>
        <n v="1823612.4999999998"/>
        <n v="533025.0"/>
        <n v="1620982.4999999998"/>
        <n v="667000.0"/>
        <n v="977614.9999999999"/>
        <n v="34500.0"/>
        <n v="5470665.0"/>
        <n v="3913449.9999999995"/>
        <n v="623875.0"/>
        <n v="3683909.9999999995"/>
        <n v="284625.0"/>
        <n v="134435.0"/>
        <n v="1622362.4999999998"/>
        <n v="300897.5"/>
        <n v="134665.0"/>
        <n v="103867.99999999999"/>
        <n v="683767.0"/>
        <n v="493004.99999999994"/>
        <n v="1937059.9999999998"/>
        <n v="926554.9999999999"/>
        <n v="26921.499999999996"/>
        <n v="92000.0"/>
        <n v="4146324.9999999995"/>
        <n v="2921000.0"/>
        <n v="631925.0"/>
        <n v="3024154.9999999995"/>
        <n v="264040.0"/>
        <n v="105224.99999999999"/>
        <n v="2726972.0"/>
        <n v="249549.99999999997"/>
        <n v="87975.0"/>
        <n v="93782.5"/>
        <n v="301127.5"/>
        <n v="530150.0"/>
        <n v="683560.0"/>
        <n v="1390235.0"/>
        <n v="592250.0"/>
        <n v="110054.99999999999"/>
        <n v="21378.5"/>
        <n v="3722894.9999999995"/>
        <n v="2768625.0"/>
        <n v="629050.0"/>
        <n v="2725500.0"/>
        <n v="252079.99999999997"/>
        <n v="109594.99999999999"/>
        <n v="2871377.5"/>
        <n v="225399.99999999997"/>
        <n v="139725.0"/>
        <n v="89688.5"/>
        <n v="296930.0"/>
        <n v="942999.9999999999"/>
        <n v="905164.9999999999"/>
        <n v="1220495.0"/>
        <n v="546250.0"/>
        <n v="106012.74999999999"/>
        <n v="4328370.0"/>
        <n v="3396524.9999999995"/>
        <n v="880324.9999999999"/>
        <n v="3088094.9999999995"/>
        <n v="231264.99999999997"/>
        <n v="171292.5"/>
      </sharedItems>
    </cacheField>
    <cacheField name="Amount" numFmtId="3">
      <sharedItems containsSemiMixedTypes="0" containsString="0" containsNumber="1">
        <n v="-3517849.9999999995"/>
        <n v="-133400.0"/>
        <n v="-45080.0"/>
        <n v="-331142.5"/>
        <n v="-593400.0"/>
        <n v="-1187432.5"/>
        <n v="-2848849.0"/>
        <n v="-770499.9999999999"/>
        <n v="-114999.99999999999"/>
        <n v="-479445.35"/>
        <n v="-46000.0"/>
        <n v="1.1621923E7"/>
        <n v="2518500.0"/>
        <n v="1127000.0"/>
        <n v="4417150.0"/>
        <n v="883947.4999999999"/>
        <n v="86342.0"/>
        <n v="-3279995.4999999995"/>
        <n v="-186875.0"/>
        <n v="-71702.5"/>
        <n v="-146487.0"/>
        <n v="-355637.5"/>
        <n v="-1326525.0"/>
        <n v="-1228085.0"/>
        <n v="-822249.9999999999"/>
        <n v="-655500.0"/>
        <n v="-452697.49999999994"/>
        <n v="-491739.99999999994"/>
        <n v="5953780.0"/>
        <n v="5141650.0"/>
        <n v="1231650.0"/>
        <n v="4779975.0"/>
        <n v="602600.0"/>
        <n v="118794.99999999999"/>
        <n v="-3326029.9999999995"/>
        <n v="-53589.99999999999"/>
        <n v="-95449.99999999999"/>
        <n v="-33810.0"/>
        <n v="-389418.74999999994"/>
        <n v="-1652319.9999999998"/>
        <n v="-1573429.9999999998"/>
        <n v="-944149.9999999999"/>
        <n v="-177694.55"/>
        <n v="5221690.0"/>
        <n v="4202560.0"/>
        <n v="1187375.0"/>
        <n v="3697364.9999999995"/>
        <n v="630775.0"/>
        <n v="87227.5"/>
        <n v="-3735521.9999999995"/>
        <n v="-164450.0"/>
        <n v="-28174.999999999996"/>
        <n v="-362250.0"/>
        <n v="-1360220.0"/>
        <n v="-1513054.9999999998"/>
        <n v="-958317.9999999999"/>
        <n v="-57499.99999999999"/>
        <n v="-586500.0"/>
        <n v="-496374.49999999994"/>
        <n v="5159130.0"/>
        <n v="3220574.9999999995"/>
        <n v="1113200.0"/>
        <n v="3770389.9999999995"/>
        <n v="400774.99999999994"/>
        <n v="94874.99999999999"/>
        <n v="-4418645.0"/>
        <n v="-206999.99999999997"/>
        <n v="-80500.0"/>
        <n v="-22770.0"/>
        <n v="-277989.5"/>
        <n v="-1139075.0"/>
        <n v="-1496840.0"/>
        <n v="-644000.0"/>
        <n v="-577645.0"/>
        <n v="5451690.0"/>
        <n v="3500024.9999999995"/>
        <n v="937249.9999999999"/>
        <n v="4833105.0"/>
        <n v="351325.0"/>
        <n v="60432.49999999999"/>
        <n v="-4585722.75"/>
        <n v="-296700.0"/>
        <n v="-108674.99999999999"/>
        <n v="-179055.0"/>
        <n v="-205648.74999999997"/>
        <n v="-1512744.4999999998"/>
        <n v="-1437500.0"/>
        <n v="-552000.0"/>
        <n v="-626750.0"/>
        <n v="-794040.4999999999"/>
        <n v="-4574838.0"/>
        <n v="-237934.99999999997"/>
        <n v="-104649.99999999999"/>
        <n v="-353912.5"/>
        <n v="-2332660.0"/>
        <n v="-1598212.4999999998"/>
        <n v="-1500060.0"/>
        <n v="5634275.5"/>
        <n v="4365400.0"/>
        <n v="1463455.5"/>
        <n v="3917325.4999999995"/>
        <n v="657880.5"/>
        <n v="61662.99999999999"/>
        <n v="-4658977.75"/>
        <n v="-505999.99999999994"/>
        <n v="-107007.49999999999"/>
        <n v="-36340.0"/>
        <n v="-196649.99999999997"/>
        <n v="-1274303.5"/>
        <n v="-1305250.0"/>
        <n v="-883165.4999999999"/>
        <n v="-69000.0"/>
        <n v="-661250.0"/>
        <n v="-295854.75"/>
        <n v="4961801.5"/>
        <n v="5177265.5"/>
        <n v="1002454.9999999999"/>
        <n v="4575700.5"/>
        <n v="519799.99999999994"/>
        <n v="52784.99999999999"/>
        <n v="-3901984.4999999995"/>
        <n v="-442749.99999999994"/>
        <n v="-124199.99999999999"/>
        <n v="-55372.49999999999"/>
        <n v="-206424.99999999997"/>
        <n v="-1124125.0"/>
        <n v="-901024.9999999999"/>
        <n v="-730250.0"/>
        <n v="-272617.85"/>
        <n v="4759735.0"/>
        <n v="4257300.0"/>
        <n v="817074.9999999999"/>
        <n v="4122979.9999999995"/>
        <n v="537165.0"/>
        <n v="175202.5"/>
        <n v="-3815147.9999999995"/>
        <n v="-345920.0"/>
        <n v="-186300.0"/>
        <n v="-115459.99999999999"/>
        <n v="-340572.5"/>
        <n v="-1267070.0"/>
        <n v="-1020624.9999999999"/>
        <n v="-993024.9999999999"/>
        <n v="-695750.0"/>
        <n v="-1248762.0"/>
        <n v="-4881232.5"/>
        <n v="-431824.99999999994"/>
        <n v="-160482.5"/>
        <n v="-110802.49999999999"/>
        <n v="-318320.0"/>
        <n v="-1639899.9999999998"/>
        <n v="-853472.4999999999"/>
        <n v="-1210950.0"/>
        <n v="-72323.5"/>
        <n v="-1007054.9999999999"/>
        <n v="4469475.0"/>
        <n v="4953050.0"/>
        <n v="768774.9999999999"/>
        <n v="3904939.9999999995"/>
        <n v="476099.99999999994"/>
        <n v="184805.0"/>
        <n v="-4452225.0"/>
        <n v="-450799.99999999994"/>
        <n v="-121612.49999999999"/>
        <n v="-107927.49999999999"/>
        <n v="-267662.5"/>
        <n v="-1823612.4999999998"/>
        <n v="-533025.0"/>
        <n v="-1620982.4999999998"/>
        <n v="-667000.0"/>
        <n v="-977614.9999999999"/>
        <n v="-34500.0"/>
        <n v="5470665.0"/>
        <n v="3913449.9999999995"/>
        <n v="623875.0"/>
        <n v="3683909.9999999995"/>
        <n v="284625.0"/>
        <n v="134435.0"/>
        <n v="0.0"/>
        <n v="-300897.5"/>
        <n v="-134665.0"/>
        <n v="-103867.99999999999"/>
        <n v="-683767.0"/>
        <n v="-493004.99999999994"/>
        <n v="-1937059.9999999998"/>
        <n v="-926554.9999999999"/>
        <n v="-26921.499999999996"/>
        <n v="-92000.0"/>
        <n v="4146324.9999999995"/>
        <n v="2921000.0"/>
        <n v="631925.0"/>
        <n v="3024154.9999999995"/>
        <n v="264040.0"/>
        <n v="105224.99999999999"/>
        <n v="-2726972.0"/>
        <n v="-249549.99999999997"/>
        <n v="-87975.0"/>
        <n v="-93782.5"/>
        <n v="-301127.5"/>
        <n v="-530150.0"/>
        <n v="-683560.0"/>
        <n v="-1390235.0"/>
        <n v="-592250.0"/>
        <n v="-110054.99999999999"/>
        <n v="-21378.5"/>
        <n v="3722894.9999999995"/>
        <n v="2768625.0"/>
        <n v="629050.0"/>
        <n v="2725500.0"/>
        <n v="252079.99999999997"/>
        <n v="109594.99999999999"/>
        <n v="-2871377.5"/>
        <n v="-225399.99999999997"/>
        <n v="-139725.0"/>
        <n v="-89688.5"/>
        <n v="-296930.0"/>
        <n v="-942999.9999999999"/>
        <n v="-905164.9999999999"/>
        <n v="-1220495.0"/>
        <n v="-546250.0"/>
        <n v="-106012.74999999999"/>
        <n v="4328370.0"/>
        <n v="3396524.9999999995"/>
        <n v="880324.9999999999"/>
        <n v="3088094.9999999995"/>
        <n v="231264.99999999997"/>
        <n v="171292.5"/>
      </sharedItems>
    </cacheField>
    <cacheField name="Transaction Type" numFmtId="0">
      <sharedItems>
        <s v="Expenses"/>
        <s v="Sales"/>
        <s v="N/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2:C18" firstHeaderRow="0" firstDataRow="2" firstDataCol="0"/>
  <pivotFields>
    <pivotField name="Month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al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xpens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perationalCos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OfSal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ross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et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-2"/>
  </colFields>
  <dataFields>
    <dataField name="SUM of GrossProfit" fld="5" baseField="0"/>
    <dataField name="SUM of NetProfit" fld="6" baseField="0"/>
  </dataFields>
</pivotTableDefinition>
</file>

<file path=xl/pivotTables/pivotTable2.xml><?xml version="1.0" encoding="utf-8"?>
<pivotTableDefinition xmlns="http://schemas.openxmlformats.org/spreadsheetml/2006/main" name="Dashboard 2" cacheId="0" dataCaption="" compact="0" compactData="0">
  <location ref="A24:D40" firstHeaderRow="0" firstDataRow="2" firstDataCol="0"/>
  <pivotFields>
    <pivotField name="Month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xpens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perationalCos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Of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ross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et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-2"/>
  </colFields>
  <dataFields>
    <dataField name="SUM of OperationalCost" fld="3" baseField="0"/>
    <dataField name="SUM of CostOfSales" fld="4" baseField="0"/>
    <dataField name="SUM of Sales" fld="1" baseField="0"/>
  </dataFields>
</pivotTableDefinition>
</file>

<file path=xl/pivotTables/pivotTable3.xml><?xml version="1.0" encoding="utf-8"?>
<pivotTableDefinition xmlns="http://schemas.openxmlformats.org/spreadsheetml/2006/main" name="Dashboard 4" cacheId="1" dataCaption="" compact="0" compactData="0">
  <location ref="A80:C96" firstHeaderRow="0" firstDataRow="2" firstDataCol="0"/>
  <pivotFields>
    <pivotField name="Month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al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xpens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perationalCos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OfSal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ross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et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rossMargin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etMargin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-2"/>
  </colFields>
  <dataFields>
    <dataField name="SUM of GrossMargin" fld="7" baseField="0"/>
    <dataField name="SUM of NetMargin" fld="8" baseField="0"/>
  </dataFields>
</pivotTableDefinition>
</file>

<file path=xl/pivotTables/pivotTable4.xml><?xml version="1.0" encoding="utf-8"?>
<pivotTableDefinition xmlns="http://schemas.openxmlformats.org/spreadsheetml/2006/main" name="Dashboard 5" cacheId="2" dataCaption="" compact="0" compactData="0">
  <location ref="A99:D116" firstHeaderRow="0" firstDataRow="1" firstDataCol="1"/>
  <pivotFields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onth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Amount+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Amou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Transaction Type" axis="axisCol" compact="0" outline="0" multipleItemSelectionAllowed="1" showAll="0" sortType="ascending">
      <items>
        <item x="0"/>
        <item h="1" x="2"/>
        <item x="1"/>
        <item t="default"/>
      </items>
    </pivotField>
  </pivotFields>
  <rowFields>
    <field x="1"/>
  </rowFields>
  <colFields>
    <field x="4"/>
  </colFields>
  <dataFields>
    <dataField name="SUM of Amount+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7.5"/>
    <col customWidth="1" min="5" max="5" width="19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8" t="s">
        <v>5</v>
      </c>
      <c r="B2" s="9">
        <v>45658.0</v>
      </c>
      <c r="C2" s="10">
        <v>3517849.9999999995</v>
      </c>
      <c r="D2" s="10">
        <f t="shared" ref="D2:D279" si="1">IFS(E:E = "Expenses", C:C * -1, E:E = "Sales", C:C * 1,True,0)</f>
        <v>-3517850</v>
      </c>
      <c r="E2" s="8" t="s">
        <v>6</v>
      </c>
    </row>
    <row r="3">
      <c r="A3" s="8" t="s">
        <v>7</v>
      </c>
      <c r="B3" s="9">
        <v>45658.0</v>
      </c>
      <c r="C3" s="10">
        <v>133400.0</v>
      </c>
      <c r="D3" s="10">
        <f t="shared" si="1"/>
        <v>-133400</v>
      </c>
      <c r="E3" s="8" t="s">
        <v>6</v>
      </c>
    </row>
    <row r="4">
      <c r="A4" s="8" t="s">
        <v>8</v>
      </c>
      <c r="B4" s="9">
        <v>45658.0</v>
      </c>
      <c r="C4" s="10">
        <v>45080.0</v>
      </c>
      <c r="D4" s="10">
        <f t="shared" si="1"/>
        <v>-45080</v>
      </c>
      <c r="E4" s="8" t="s">
        <v>6</v>
      </c>
    </row>
    <row r="5">
      <c r="A5" s="8" t="s">
        <v>9</v>
      </c>
      <c r="B5" s="9">
        <v>45658.0</v>
      </c>
      <c r="C5" s="10">
        <v>331142.5</v>
      </c>
      <c r="D5" s="10">
        <f t="shared" si="1"/>
        <v>-331142.5</v>
      </c>
      <c r="E5" s="8" t="s">
        <v>6</v>
      </c>
    </row>
    <row r="6">
      <c r="A6" s="8" t="s">
        <v>10</v>
      </c>
      <c r="B6" s="9">
        <v>45658.0</v>
      </c>
      <c r="C6" s="10">
        <v>593400.0</v>
      </c>
      <c r="D6" s="10">
        <f t="shared" si="1"/>
        <v>-593400</v>
      </c>
      <c r="E6" s="8" t="s">
        <v>6</v>
      </c>
    </row>
    <row r="7">
      <c r="A7" s="8" t="s">
        <v>11</v>
      </c>
      <c r="B7" s="9">
        <v>45658.0</v>
      </c>
      <c r="C7" s="10">
        <v>1187432.5</v>
      </c>
      <c r="D7" s="10">
        <f t="shared" si="1"/>
        <v>-1187432.5</v>
      </c>
      <c r="E7" s="8" t="s">
        <v>6</v>
      </c>
    </row>
    <row r="8">
      <c r="A8" s="8" t="s">
        <v>12</v>
      </c>
      <c r="B8" s="9">
        <v>45658.0</v>
      </c>
      <c r="C8" s="10">
        <v>2848849.0</v>
      </c>
      <c r="D8" s="10">
        <f t="shared" si="1"/>
        <v>-2848849</v>
      </c>
      <c r="E8" s="8" t="s">
        <v>6</v>
      </c>
    </row>
    <row r="9">
      <c r="A9" s="8" t="s">
        <v>13</v>
      </c>
      <c r="B9" s="9">
        <v>45658.0</v>
      </c>
      <c r="C9" s="10">
        <v>770499.9999999999</v>
      </c>
      <c r="D9" s="10">
        <f t="shared" si="1"/>
        <v>-770500</v>
      </c>
      <c r="E9" s="8" t="s">
        <v>6</v>
      </c>
    </row>
    <row r="10">
      <c r="A10" s="8" t="s">
        <v>14</v>
      </c>
      <c r="B10" s="9">
        <v>45658.0</v>
      </c>
      <c r="C10" s="10">
        <v>114999.99999999999</v>
      </c>
      <c r="D10" s="10">
        <f t="shared" si="1"/>
        <v>-115000</v>
      </c>
      <c r="E10" s="8" t="s">
        <v>6</v>
      </c>
    </row>
    <row r="11">
      <c r="A11" s="8" t="s">
        <v>15</v>
      </c>
      <c r="B11" s="9">
        <v>45658.0</v>
      </c>
      <c r="C11" s="10">
        <v>479445.35</v>
      </c>
      <c r="D11" s="10">
        <f t="shared" si="1"/>
        <v>-479445.35</v>
      </c>
      <c r="E11" s="8" t="s">
        <v>6</v>
      </c>
    </row>
    <row r="12">
      <c r="A12" s="8" t="s">
        <v>16</v>
      </c>
      <c r="B12" s="9">
        <v>45658.0</v>
      </c>
      <c r="C12" s="10">
        <v>46000.0</v>
      </c>
      <c r="D12" s="10">
        <f t="shared" si="1"/>
        <v>-46000</v>
      </c>
      <c r="E12" s="8" t="s">
        <v>6</v>
      </c>
    </row>
    <row r="13">
      <c r="A13" s="8" t="s">
        <v>17</v>
      </c>
      <c r="B13" s="9">
        <v>45658.0</v>
      </c>
      <c r="C13" s="10">
        <v>1.1621923E7</v>
      </c>
      <c r="D13" s="10">
        <f t="shared" si="1"/>
        <v>11621923</v>
      </c>
      <c r="E13" s="8" t="s">
        <v>18</v>
      </c>
    </row>
    <row r="14">
      <c r="A14" s="8" t="s">
        <v>19</v>
      </c>
      <c r="B14" s="9">
        <v>45658.0</v>
      </c>
      <c r="C14" s="10">
        <v>2518500.0</v>
      </c>
      <c r="D14" s="10">
        <f t="shared" si="1"/>
        <v>2518500</v>
      </c>
      <c r="E14" s="8" t="s">
        <v>18</v>
      </c>
    </row>
    <row r="15">
      <c r="A15" s="8" t="s">
        <v>20</v>
      </c>
      <c r="B15" s="9">
        <v>45658.0</v>
      </c>
      <c r="C15" s="10">
        <v>1127000.0</v>
      </c>
      <c r="D15" s="10">
        <f t="shared" si="1"/>
        <v>1127000</v>
      </c>
      <c r="E15" s="8" t="s">
        <v>18</v>
      </c>
    </row>
    <row r="16">
      <c r="A16" s="8" t="s">
        <v>5</v>
      </c>
      <c r="B16" s="9">
        <v>45658.0</v>
      </c>
      <c r="C16" s="10">
        <v>4417150.0</v>
      </c>
      <c r="D16" s="10">
        <f t="shared" si="1"/>
        <v>4417150</v>
      </c>
      <c r="E16" s="8" t="s">
        <v>18</v>
      </c>
    </row>
    <row r="17">
      <c r="A17" s="8" t="s">
        <v>21</v>
      </c>
      <c r="B17" s="9">
        <v>45658.0</v>
      </c>
      <c r="C17" s="10">
        <v>883947.4999999999</v>
      </c>
      <c r="D17" s="10">
        <f t="shared" si="1"/>
        <v>883947.5</v>
      </c>
      <c r="E17" s="8" t="s">
        <v>18</v>
      </c>
    </row>
    <row r="18">
      <c r="A18" s="11" t="s">
        <v>22</v>
      </c>
      <c r="B18" s="9">
        <v>45658.0</v>
      </c>
      <c r="C18" s="10">
        <v>86342.0</v>
      </c>
      <c r="D18" s="10">
        <f t="shared" si="1"/>
        <v>86342</v>
      </c>
      <c r="E18" s="8" t="s">
        <v>18</v>
      </c>
    </row>
    <row r="19">
      <c r="A19" s="8" t="s">
        <v>5</v>
      </c>
      <c r="B19" s="9">
        <v>45689.0</v>
      </c>
      <c r="C19" s="10">
        <v>3279995.4999999995</v>
      </c>
      <c r="D19" s="10">
        <f t="shared" si="1"/>
        <v>-3279995.5</v>
      </c>
      <c r="E19" s="8" t="s">
        <v>6</v>
      </c>
    </row>
    <row r="20">
      <c r="A20" s="8" t="s">
        <v>7</v>
      </c>
      <c r="B20" s="9">
        <v>45689.0</v>
      </c>
      <c r="C20" s="10">
        <v>186875.0</v>
      </c>
      <c r="D20" s="10">
        <f t="shared" si="1"/>
        <v>-186875</v>
      </c>
      <c r="E20" s="8" t="s">
        <v>6</v>
      </c>
    </row>
    <row r="21">
      <c r="A21" s="8" t="s">
        <v>8</v>
      </c>
      <c r="B21" s="9">
        <v>45689.0</v>
      </c>
      <c r="C21" s="10">
        <v>71702.5</v>
      </c>
      <c r="D21" s="10">
        <f t="shared" si="1"/>
        <v>-71702.5</v>
      </c>
      <c r="E21" s="8" t="s">
        <v>6</v>
      </c>
    </row>
    <row r="22">
      <c r="A22" s="8" t="s">
        <v>22</v>
      </c>
      <c r="B22" s="9">
        <v>45689.0</v>
      </c>
      <c r="C22" s="10">
        <v>146487.0</v>
      </c>
      <c r="D22" s="10">
        <f t="shared" si="1"/>
        <v>-146487</v>
      </c>
      <c r="E22" s="8" t="s">
        <v>6</v>
      </c>
    </row>
    <row r="23">
      <c r="A23" s="8" t="s">
        <v>9</v>
      </c>
      <c r="B23" s="9">
        <v>45689.0</v>
      </c>
      <c r="C23" s="10">
        <v>355637.5</v>
      </c>
      <c r="D23" s="10">
        <f t="shared" si="1"/>
        <v>-355637.5</v>
      </c>
      <c r="E23" s="8" t="s">
        <v>6</v>
      </c>
    </row>
    <row r="24">
      <c r="A24" s="8" t="s">
        <v>10</v>
      </c>
      <c r="B24" s="9">
        <v>45689.0</v>
      </c>
      <c r="C24" s="10">
        <v>1326525.0</v>
      </c>
      <c r="D24" s="10">
        <f t="shared" si="1"/>
        <v>-1326525</v>
      </c>
      <c r="E24" s="8" t="s">
        <v>6</v>
      </c>
    </row>
    <row r="25">
      <c r="A25" s="8" t="s">
        <v>11</v>
      </c>
      <c r="B25" s="9">
        <v>45689.0</v>
      </c>
      <c r="C25" s="10">
        <v>1228085.0</v>
      </c>
      <c r="D25" s="10">
        <f t="shared" si="1"/>
        <v>-1228085</v>
      </c>
      <c r="E25" s="8" t="s">
        <v>6</v>
      </c>
    </row>
    <row r="26">
      <c r="A26" s="8" t="s">
        <v>12</v>
      </c>
      <c r="B26" s="9">
        <v>45689.0</v>
      </c>
      <c r="C26" s="10">
        <v>822249.9999999999</v>
      </c>
      <c r="D26" s="10">
        <f t="shared" si="1"/>
        <v>-822250</v>
      </c>
      <c r="E26" s="8" t="s">
        <v>6</v>
      </c>
    </row>
    <row r="27">
      <c r="A27" s="8" t="s">
        <v>16</v>
      </c>
      <c r="B27" s="9">
        <v>45689.0</v>
      </c>
      <c r="C27" s="10">
        <v>46000.0</v>
      </c>
      <c r="D27" s="10">
        <f t="shared" si="1"/>
        <v>-46000</v>
      </c>
      <c r="E27" s="8" t="s">
        <v>6</v>
      </c>
    </row>
    <row r="28">
      <c r="A28" s="8" t="s">
        <v>13</v>
      </c>
      <c r="B28" s="9">
        <v>45689.0</v>
      </c>
      <c r="C28" s="10">
        <v>655500.0</v>
      </c>
      <c r="D28" s="10">
        <f t="shared" si="1"/>
        <v>-655500</v>
      </c>
      <c r="E28" s="8" t="s">
        <v>6</v>
      </c>
    </row>
    <row r="29">
      <c r="A29" s="8" t="s">
        <v>14</v>
      </c>
      <c r="B29" s="9">
        <v>45689.0</v>
      </c>
      <c r="C29" s="10">
        <v>114999.99999999999</v>
      </c>
      <c r="D29" s="10">
        <f t="shared" si="1"/>
        <v>-115000</v>
      </c>
      <c r="E29" s="8" t="s">
        <v>6</v>
      </c>
    </row>
    <row r="30">
      <c r="A30" s="8" t="s">
        <v>15</v>
      </c>
      <c r="B30" s="9">
        <v>45689.0</v>
      </c>
      <c r="C30" s="10">
        <v>452697.49999999994</v>
      </c>
      <c r="D30" s="10">
        <f t="shared" si="1"/>
        <v>-452697.5</v>
      </c>
      <c r="E30" s="8" t="s">
        <v>6</v>
      </c>
    </row>
    <row r="31">
      <c r="A31" s="8" t="s">
        <v>23</v>
      </c>
      <c r="B31" s="9">
        <v>45689.0</v>
      </c>
      <c r="C31" s="10">
        <v>491739.99999999994</v>
      </c>
      <c r="D31" s="10">
        <f t="shared" si="1"/>
        <v>-491740</v>
      </c>
      <c r="E31" s="8" t="s">
        <v>6</v>
      </c>
    </row>
    <row r="32">
      <c r="A32" s="8" t="s">
        <v>17</v>
      </c>
      <c r="B32" s="9">
        <v>45690.0</v>
      </c>
      <c r="C32" s="10">
        <v>5953780.0</v>
      </c>
      <c r="D32" s="10">
        <f t="shared" si="1"/>
        <v>5953780</v>
      </c>
      <c r="E32" s="8" t="s">
        <v>18</v>
      </c>
    </row>
    <row r="33">
      <c r="A33" s="8" t="s">
        <v>19</v>
      </c>
      <c r="B33" s="9">
        <v>45691.0</v>
      </c>
      <c r="C33" s="10">
        <v>5141650.0</v>
      </c>
      <c r="D33" s="10">
        <f t="shared" si="1"/>
        <v>5141650</v>
      </c>
      <c r="E33" s="8" t="s">
        <v>18</v>
      </c>
    </row>
    <row r="34">
      <c r="A34" s="8" t="s">
        <v>20</v>
      </c>
      <c r="B34" s="9">
        <v>45692.0</v>
      </c>
      <c r="C34" s="10">
        <v>1231650.0</v>
      </c>
      <c r="D34" s="10">
        <f t="shared" si="1"/>
        <v>1231650</v>
      </c>
      <c r="E34" s="8" t="s">
        <v>18</v>
      </c>
    </row>
    <row r="35">
      <c r="A35" s="8" t="s">
        <v>5</v>
      </c>
      <c r="B35" s="9">
        <v>45693.0</v>
      </c>
      <c r="C35" s="10">
        <v>4779975.0</v>
      </c>
      <c r="D35" s="10">
        <f t="shared" si="1"/>
        <v>4779975</v>
      </c>
      <c r="E35" s="8" t="s">
        <v>18</v>
      </c>
    </row>
    <row r="36">
      <c r="A36" s="8" t="s">
        <v>21</v>
      </c>
      <c r="B36" s="9">
        <v>45694.0</v>
      </c>
      <c r="C36" s="10">
        <v>602600.0</v>
      </c>
      <c r="D36" s="10">
        <f t="shared" si="1"/>
        <v>602600</v>
      </c>
      <c r="E36" s="8" t="s">
        <v>18</v>
      </c>
    </row>
    <row r="37">
      <c r="A37" s="11" t="s">
        <v>22</v>
      </c>
      <c r="B37" s="9">
        <v>45695.0</v>
      </c>
      <c r="C37" s="10">
        <v>118794.99999999999</v>
      </c>
      <c r="D37" s="10">
        <f t="shared" si="1"/>
        <v>118795</v>
      </c>
      <c r="E37" s="8" t="s">
        <v>18</v>
      </c>
    </row>
    <row r="38">
      <c r="A38" s="8" t="s">
        <v>5</v>
      </c>
      <c r="B38" s="9">
        <v>45717.0</v>
      </c>
      <c r="C38" s="10">
        <v>3326029.9999999995</v>
      </c>
      <c r="D38" s="10">
        <f t="shared" si="1"/>
        <v>-3326030</v>
      </c>
      <c r="E38" s="8" t="s">
        <v>6</v>
      </c>
    </row>
    <row r="39">
      <c r="A39" s="8" t="s">
        <v>7</v>
      </c>
      <c r="B39" s="9">
        <v>45718.0</v>
      </c>
      <c r="C39" s="10">
        <v>53589.99999999999</v>
      </c>
      <c r="D39" s="10">
        <f t="shared" si="1"/>
        <v>-53590</v>
      </c>
      <c r="E39" s="8" t="s">
        <v>6</v>
      </c>
    </row>
    <row r="40">
      <c r="A40" s="8" t="s">
        <v>8</v>
      </c>
      <c r="B40" s="9">
        <v>45719.0</v>
      </c>
      <c r="C40" s="10">
        <v>95449.99999999999</v>
      </c>
      <c r="D40" s="10">
        <f t="shared" si="1"/>
        <v>-95450</v>
      </c>
      <c r="E40" s="8" t="s">
        <v>6</v>
      </c>
    </row>
    <row r="41">
      <c r="A41" s="8" t="s">
        <v>22</v>
      </c>
      <c r="B41" s="9">
        <v>45720.0</v>
      </c>
      <c r="C41" s="10">
        <v>33810.0</v>
      </c>
      <c r="D41" s="10">
        <f t="shared" si="1"/>
        <v>-33810</v>
      </c>
      <c r="E41" s="8" t="s">
        <v>6</v>
      </c>
    </row>
    <row r="42">
      <c r="A42" s="8" t="s">
        <v>9</v>
      </c>
      <c r="B42" s="9">
        <v>45721.0</v>
      </c>
      <c r="C42" s="10">
        <v>389418.74999999994</v>
      </c>
      <c r="D42" s="10">
        <f t="shared" si="1"/>
        <v>-389418.75</v>
      </c>
      <c r="E42" s="8" t="s">
        <v>6</v>
      </c>
    </row>
    <row r="43">
      <c r="A43" s="8" t="s">
        <v>10</v>
      </c>
      <c r="B43" s="9">
        <v>45722.0</v>
      </c>
      <c r="C43" s="10">
        <v>1652319.9999999998</v>
      </c>
      <c r="D43" s="10">
        <f t="shared" si="1"/>
        <v>-1652320</v>
      </c>
      <c r="E43" s="8" t="s">
        <v>6</v>
      </c>
    </row>
    <row r="44">
      <c r="A44" s="8" t="s">
        <v>11</v>
      </c>
      <c r="B44" s="9">
        <v>45723.0</v>
      </c>
      <c r="C44" s="10">
        <v>1573429.9999999998</v>
      </c>
      <c r="D44" s="10">
        <f t="shared" si="1"/>
        <v>-1573430</v>
      </c>
      <c r="E44" s="8" t="s">
        <v>6</v>
      </c>
    </row>
    <row r="45">
      <c r="A45" s="8" t="s">
        <v>12</v>
      </c>
      <c r="B45" s="9">
        <v>45724.0</v>
      </c>
      <c r="C45" s="10">
        <v>944149.9999999999</v>
      </c>
      <c r="D45" s="10">
        <f t="shared" si="1"/>
        <v>-944150</v>
      </c>
      <c r="E45" s="8" t="s">
        <v>6</v>
      </c>
    </row>
    <row r="46">
      <c r="A46" s="8" t="s">
        <v>16</v>
      </c>
      <c r="B46" s="9">
        <v>45725.0</v>
      </c>
      <c r="C46" s="10">
        <v>46000.0</v>
      </c>
      <c r="D46" s="10">
        <f t="shared" si="1"/>
        <v>-46000</v>
      </c>
      <c r="E46" s="8" t="s">
        <v>6</v>
      </c>
    </row>
    <row r="47">
      <c r="A47" s="8" t="s">
        <v>13</v>
      </c>
      <c r="B47" s="9">
        <v>45726.0</v>
      </c>
      <c r="C47" s="10">
        <v>655500.0</v>
      </c>
      <c r="D47" s="10">
        <f t="shared" si="1"/>
        <v>-655500</v>
      </c>
      <c r="E47" s="8" t="s">
        <v>6</v>
      </c>
    </row>
    <row r="48">
      <c r="A48" s="8" t="s">
        <v>14</v>
      </c>
      <c r="B48" s="9">
        <v>45727.0</v>
      </c>
      <c r="C48" s="10">
        <v>114999.99999999999</v>
      </c>
      <c r="D48" s="10">
        <f t="shared" si="1"/>
        <v>-115000</v>
      </c>
      <c r="E48" s="8" t="s">
        <v>6</v>
      </c>
    </row>
    <row r="49">
      <c r="A49" s="8" t="s">
        <v>15</v>
      </c>
      <c r="B49" s="9">
        <v>45728.0</v>
      </c>
      <c r="C49" s="10">
        <v>177694.55</v>
      </c>
      <c r="D49" s="10">
        <f t="shared" si="1"/>
        <v>-177694.55</v>
      </c>
      <c r="E49" s="8" t="s">
        <v>6</v>
      </c>
    </row>
    <row r="50">
      <c r="A50" s="8" t="s">
        <v>17</v>
      </c>
      <c r="B50" s="9">
        <v>45729.0</v>
      </c>
      <c r="C50" s="10">
        <v>5221690.0</v>
      </c>
      <c r="D50" s="10">
        <f t="shared" si="1"/>
        <v>5221690</v>
      </c>
      <c r="E50" s="8" t="s">
        <v>18</v>
      </c>
    </row>
    <row r="51">
      <c r="A51" s="8" t="s">
        <v>19</v>
      </c>
      <c r="B51" s="9">
        <v>45730.0</v>
      </c>
      <c r="C51" s="10">
        <v>4202560.0</v>
      </c>
      <c r="D51" s="10">
        <f t="shared" si="1"/>
        <v>4202560</v>
      </c>
      <c r="E51" s="8" t="s">
        <v>18</v>
      </c>
    </row>
    <row r="52">
      <c r="A52" s="8" t="s">
        <v>20</v>
      </c>
      <c r="B52" s="9">
        <v>45731.0</v>
      </c>
      <c r="C52" s="10">
        <v>1187375.0</v>
      </c>
      <c r="D52" s="10">
        <f t="shared" si="1"/>
        <v>1187375</v>
      </c>
      <c r="E52" s="8" t="s">
        <v>18</v>
      </c>
    </row>
    <row r="53">
      <c r="A53" s="8" t="s">
        <v>5</v>
      </c>
      <c r="B53" s="9">
        <v>45717.0</v>
      </c>
      <c r="C53" s="10">
        <v>3697364.9999999995</v>
      </c>
      <c r="D53" s="10">
        <f t="shared" si="1"/>
        <v>3697365</v>
      </c>
      <c r="E53" s="8" t="s">
        <v>18</v>
      </c>
    </row>
    <row r="54">
      <c r="A54" s="8" t="s">
        <v>21</v>
      </c>
      <c r="B54" s="9">
        <v>45718.0</v>
      </c>
      <c r="C54" s="10">
        <v>630775.0</v>
      </c>
      <c r="D54" s="10">
        <f t="shared" si="1"/>
        <v>630775</v>
      </c>
      <c r="E54" s="8" t="s">
        <v>18</v>
      </c>
    </row>
    <row r="55">
      <c r="A55" s="11" t="s">
        <v>22</v>
      </c>
      <c r="B55" s="9">
        <v>45719.0</v>
      </c>
      <c r="C55" s="10">
        <v>87227.5</v>
      </c>
      <c r="D55" s="10">
        <f t="shared" si="1"/>
        <v>87227.5</v>
      </c>
      <c r="E55" s="8" t="s">
        <v>18</v>
      </c>
    </row>
    <row r="56">
      <c r="A56" s="8" t="s">
        <v>5</v>
      </c>
      <c r="B56" s="9">
        <v>45748.0</v>
      </c>
      <c r="C56" s="10">
        <v>3735521.9999999995</v>
      </c>
      <c r="D56" s="10">
        <f t="shared" si="1"/>
        <v>-3735522</v>
      </c>
      <c r="E56" s="8" t="s">
        <v>6</v>
      </c>
    </row>
    <row r="57">
      <c r="A57" s="8" t="s">
        <v>7</v>
      </c>
      <c r="B57" s="9">
        <v>45748.0</v>
      </c>
      <c r="C57" s="10">
        <v>164450.0</v>
      </c>
      <c r="D57" s="10">
        <f t="shared" si="1"/>
        <v>-164450</v>
      </c>
      <c r="E57" s="8" t="s">
        <v>6</v>
      </c>
    </row>
    <row r="58">
      <c r="A58" s="8" t="s">
        <v>8</v>
      </c>
      <c r="B58" s="9">
        <v>45748.0</v>
      </c>
      <c r="C58" s="10">
        <v>28174.999999999996</v>
      </c>
      <c r="D58" s="10">
        <f t="shared" si="1"/>
        <v>-28175</v>
      </c>
      <c r="E58" s="8" t="s">
        <v>6</v>
      </c>
    </row>
    <row r="59">
      <c r="A59" s="8" t="s">
        <v>22</v>
      </c>
      <c r="B59" s="9">
        <v>45748.0</v>
      </c>
      <c r="C59" s="10">
        <v>33810.0</v>
      </c>
      <c r="D59" s="10">
        <f t="shared" si="1"/>
        <v>-33810</v>
      </c>
      <c r="E59" s="8" t="s">
        <v>6</v>
      </c>
    </row>
    <row r="60">
      <c r="A60" s="8" t="s">
        <v>9</v>
      </c>
      <c r="B60" s="9">
        <v>45748.0</v>
      </c>
      <c r="C60" s="10">
        <v>362250.0</v>
      </c>
      <c r="D60" s="10">
        <f t="shared" si="1"/>
        <v>-362250</v>
      </c>
      <c r="E60" s="8" t="s">
        <v>6</v>
      </c>
    </row>
    <row r="61">
      <c r="A61" s="8" t="s">
        <v>10</v>
      </c>
      <c r="B61" s="9">
        <v>45748.0</v>
      </c>
      <c r="C61" s="10">
        <v>1360220.0</v>
      </c>
      <c r="D61" s="10">
        <f t="shared" si="1"/>
        <v>-1360220</v>
      </c>
      <c r="E61" s="8" t="s">
        <v>6</v>
      </c>
    </row>
    <row r="62">
      <c r="A62" s="8" t="s">
        <v>11</v>
      </c>
      <c r="B62" s="9">
        <v>45748.0</v>
      </c>
      <c r="C62" s="10">
        <v>1513054.9999999998</v>
      </c>
      <c r="D62" s="10">
        <f t="shared" si="1"/>
        <v>-1513055</v>
      </c>
      <c r="E62" s="8" t="s">
        <v>6</v>
      </c>
    </row>
    <row r="63">
      <c r="A63" s="8" t="s">
        <v>12</v>
      </c>
      <c r="B63" s="9">
        <v>45748.0</v>
      </c>
      <c r="C63" s="10">
        <v>958317.9999999999</v>
      </c>
      <c r="D63" s="10">
        <f t="shared" si="1"/>
        <v>-958318</v>
      </c>
      <c r="E63" s="8" t="s">
        <v>6</v>
      </c>
    </row>
    <row r="64">
      <c r="A64" s="8" t="s">
        <v>16</v>
      </c>
      <c r="B64" s="9">
        <v>45748.0</v>
      </c>
      <c r="C64" s="10">
        <v>57499.99999999999</v>
      </c>
      <c r="D64" s="10">
        <f t="shared" si="1"/>
        <v>-57500</v>
      </c>
      <c r="E64" s="8" t="s">
        <v>6</v>
      </c>
    </row>
    <row r="65">
      <c r="A65" s="8" t="s">
        <v>13</v>
      </c>
      <c r="B65" s="9">
        <v>45748.0</v>
      </c>
      <c r="C65" s="10">
        <v>586500.0</v>
      </c>
      <c r="D65" s="10">
        <f t="shared" si="1"/>
        <v>-586500</v>
      </c>
      <c r="E65" s="8" t="s">
        <v>6</v>
      </c>
    </row>
    <row r="66">
      <c r="A66" s="8" t="s">
        <v>14</v>
      </c>
      <c r="B66" s="9">
        <v>45748.0</v>
      </c>
      <c r="C66" s="10">
        <v>114999.99999999999</v>
      </c>
      <c r="D66" s="10">
        <f t="shared" si="1"/>
        <v>-115000</v>
      </c>
      <c r="E66" s="8" t="s">
        <v>6</v>
      </c>
    </row>
    <row r="67">
      <c r="A67" s="8" t="s">
        <v>15</v>
      </c>
      <c r="B67" s="9">
        <v>45748.0</v>
      </c>
      <c r="C67" s="10">
        <v>496374.49999999994</v>
      </c>
      <c r="D67" s="10">
        <f t="shared" si="1"/>
        <v>-496374.5</v>
      </c>
      <c r="E67" s="8" t="s">
        <v>6</v>
      </c>
    </row>
    <row r="68">
      <c r="A68" s="8" t="s">
        <v>17</v>
      </c>
      <c r="B68" s="9">
        <v>45749.0</v>
      </c>
      <c r="C68" s="10">
        <v>5159130.0</v>
      </c>
      <c r="D68" s="10">
        <f t="shared" si="1"/>
        <v>5159130</v>
      </c>
      <c r="E68" s="8" t="s">
        <v>18</v>
      </c>
    </row>
    <row r="69">
      <c r="A69" s="8" t="s">
        <v>19</v>
      </c>
      <c r="B69" s="9">
        <v>45750.0</v>
      </c>
      <c r="C69" s="10">
        <v>3220574.9999999995</v>
      </c>
      <c r="D69" s="10">
        <f t="shared" si="1"/>
        <v>3220575</v>
      </c>
      <c r="E69" s="8" t="s">
        <v>18</v>
      </c>
    </row>
    <row r="70">
      <c r="A70" s="8" t="s">
        <v>20</v>
      </c>
      <c r="B70" s="9">
        <v>45751.0</v>
      </c>
      <c r="C70" s="10">
        <v>1113200.0</v>
      </c>
      <c r="D70" s="10">
        <f t="shared" si="1"/>
        <v>1113200</v>
      </c>
      <c r="E70" s="8" t="s">
        <v>18</v>
      </c>
    </row>
    <row r="71">
      <c r="A71" s="8" t="s">
        <v>5</v>
      </c>
      <c r="B71" s="9">
        <v>45752.0</v>
      </c>
      <c r="C71" s="10">
        <v>3770389.9999999995</v>
      </c>
      <c r="D71" s="10">
        <f t="shared" si="1"/>
        <v>3770390</v>
      </c>
      <c r="E71" s="8" t="s">
        <v>18</v>
      </c>
    </row>
    <row r="72">
      <c r="A72" s="8" t="s">
        <v>21</v>
      </c>
      <c r="B72" s="9">
        <v>45753.0</v>
      </c>
      <c r="C72" s="10">
        <v>400774.99999999994</v>
      </c>
      <c r="D72" s="10">
        <f t="shared" si="1"/>
        <v>400775</v>
      </c>
      <c r="E72" s="8" t="s">
        <v>18</v>
      </c>
    </row>
    <row r="73">
      <c r="A73" s="11" t="s">
        <v>22</v>
      </c>
      <c r="B73" s="9">
        <v>45754.0</v>
      </c>
      <c r="C73" s="10">
        <v>94874.99999999999</v>
      </c>
      <c r="D73" s="10">
        <f t="shared" si="1"/>
        <v>94875</v>
      </c>
      <c r="E73" s="8" t="s">
        <v>18</v>
      </c>
    </row>
    <row r="74">
      <c r="A74" s="8" t="s">
        <v>5</v>
      </c>
      <c r="B74" s="9">
        <v>45778.0</v>
      </c>
      <c r="C74" s="10">
        <v>4418645.0</v>
      </c>
      <c r="D74" s="10">
        <f t="shared" si="1"/>
        <v>-4418645</v>
      </c>
      <c r="E74" s="8" t="s">
        <v>6</v>
      </c>
    </row>
    <row r="75">
      <c r="A75" s="8" t="s">
        <v>7</v>
      </c>
      <c r="B75" s="9">
        <v>45778.0</v>
      </c>
      <c r="C75" s="10">
        <v>206999.99999999997</v>
      </c>
      <c r="D75" s="10">
        <f t="shared" si="1"/>
        <v>-207000</v>
      </c>
      <c r="E75" s="8" t="s">
        <v>6</v>
      </c>
    </row>
    <row r="76">
      <c r="A76" s="8" t="s">
        <v>8</v>
      </c>
      <c r="B76" s="9">
        <v>45778.0</v>
      </c>
      <c r="C76" s="10">
        <v>80500.0</v>
      </c>
      <c r="D76" s="10">
        <f t="shared" si="1"/>
        <v>-80500</v>
      </c>
      <c r="E76" s="8" t="s">
        <v>6</v>
      </c>
    </row>
    <row r="77">
      <c r="A77" s="8" t="s">
        <v>22</v>
      </c>
      <c r="B77" s="9">
        <v>45778.0</v>
      </c>
      <c r="C77" s="10">
        <v>22770.0</v>
      </c>
      <c r="D77" s="10">
        <f t="shared" si="1"/>
        <v>-22770</v>
      </c>
      <c r="E77" s="8" t="s">
        <v>6</v>
      </c>
    </row>
    <row r="78">
      <c r="A78" s="8" t="s">
        <v>9</v>
      </c>
      <c r="B78" s="9">
        <v>45778.0</v>
      </c>
      <c r="C78" s="10">
        <v>277989.5</v>
      </c>
      <c r="D78" s="10">
        <f t="shared" si="1"/>
        <v>-277989.5</v>
      </c>
      <c r="E78" s="8" t="s">
        <v>6</v>
      </c>
    </row>
    <row r="79">
      <c r="A79" s="8" t="s">
        <v>10</v>
      </c>
      <c r="B79" s="9">
        <v>45778.0</v>
      </c>
      <c r="C79" s="10">
        <v>1139075.0</v>
      </c>
      <c r="D79" s="10">
        <f t="shared" si="1"/>
        <v>-1139075</v>
      </c>
      <c r="E79" s="8" t="s">
        <v>6</v>
      </c>
    </row>
    <row r="80">
      <c r="A80" s="8" t="s">
        <v>11</v>
      </c>
      <c r="B80" s="9">
        <v>45778.0</v>
      </c>
      <c r="C80" s="10">
        <v>1496840.0</v>
      </c>
      <c r="D80" s="10">
        <f t="shared" si="1"/>
        <v>-1496840</v>
      </c>
      <c r="E80" s="8" t="s">
        <v>6</v>
      </c>
    </row>
    <row r="81">
      <c r="A81" s="8" t="s">
        <v>12</v>
      </c>
      <c r="B81" s="9">
        <v>45778.0</v>
      </c>
      <c r="C81" s="10">
        <v>644000.0</v>
      </c>
      <c r="D81" s="10">
        <f t="shared" si="1"/>
        <v>-644000</v>
      </c>
      <c r="E81" s="8" t="s">
        <v>6</v>
      </c>
    </row>
    <row r="82">
      <c r="A82" s="8" t="s">
        <v>16</v>
      </c>
      <c r="B82" s="9">
        <v>45778.0</v>
      </c>
      <c r="C82" s="10">
        <v>57499.99999999999</v>
      </c>
      <c r="D82" s="10">
        <f t="shared" si="1"/>
        <v>-57500</v>
      </c>
      <c r="E82" s="8" t="s">
        <v>6</v>
      </c>
    </row>
    <row r="83">
      <c r="A83" s="8" t="s">
        <v>13</v>
      </c>
      <c r="B83" s="9">
        <v>45778.0</v>
      </c>
      <c r="C83" s="10">
        <v>586500.0</v>
      </c>
      <c r="D83" s="10">
        <f t="shared" si="1"/>
        <v>-586500</v>
      </c>
      <c r="E83" s="8" t="s">
        <v>6</v>
      </c>
    </row>
    <row r="84">
      <c r="A84" s="8" t="s">
        <v>14</v>
      </c>
      <c r="B84" s="9">
        <v>45778.0</v>
      </c>
      <c r="C84" s="10">
        <v>114999.99999999999</v>
      </c>
      <c r="D84" s="10">
        <f t="shared" si="1"/>
        <v>-115000</v>
      </c>
      <c r="E84" s="8" t="s">
        <v>6</v>
      </c>
    </row>
    <row r="85">
      <c r="A85" s="8" t="s">
        <v>15</v>
      </c>
      <c r="B85" s="9">
        <v>45778.0</v>
      </c>
      <c r="C85" s="10">
        <v>577645.0</v>
      </c>
      <c r="D85" s="10">
        <f t="shared" si="1"/>
        <v>-577645</v>
      </c>
      <c r="E85" s="8" t="s">
        <v>6</v>
      </c>
    </row>
    <row r="86">
      <c r="A86" s="8" t="s">
        <v>17</v>
      </c>
      <c r="B86" s="9">
        <v>45779.0</v>
      </c>
      <c r="C86" s="10">
        <v>5451690.0</v>
      </c>
      <c r="D86" s="10">
        <f t="shared" si="1"/>
        <v>5451690</v>
      </c>
      <c r="E86" s="8" t="s">
        <v>18</v>
      </c>
    </row>
    <row r="87">
      <c r="A87" s="8" t="s">
        <v>19</v>
      </c>
      <c r="B87" s="9">
        <v>45780.0</v>
      </c>
      <c r="C87" s="10">
        <v>3500024.9999999995</v>
      </c>
      <c r="D87" s="10">
        <f t="shared" si="1"/>
        <v>3500025</v>
      </c>
      <c r="E87" s="8" t="s">
        <v>18</v>
      </c>
    </row>
    <row r="88">
      <c r="A88" s="8" t="s">
        <v>20</v>
      </c>
      <c r="B88" s="9">
        <v>45781.0</v>
      </c>
      <c r="C88" s="10">
        <v>937249.9999999999</v>
      </c>
      <c r="D88" s="10">
        <f t="shared" si="1"/>
        <v>937250</v>
      </c>
      <c r="E88" s="8" t="s">
        <v>18</v>
      </c>
    </row>
    <row r="89">
      <c r="A89" s="8" t="s">
        <v>5</v>
      </c>
      <c r="B89" s="9">
        <v>45782.0</v>
      </c>
      <c r="C89" s="10">
        <v>4833105.0</v>
      </c>
      <c r="D89" s="10">
        <f t="shared" si="1"/>
        <v>4833105</v>
      </c>
      <c r="E89" s="8" t="s">
        <v>18</v>
      </c>
    </row>
    <row r="90">
      <c r="A90" s="8" t="s">
        <v>21</v>
      </c>
      <c r="B90" s="9">
        <v>45783.0</v>
      </c>
      <c r="C90" s="10">
        <v>351325.0</v>
      </c>
      <c r="D90" s="10">
        <f t="shared" si="1"/>
        <v>351325</v>
      </c>
      <c r="E90" s="8" t="s">
        <v>18</v>
      </c>
    </row>
    <row r="91">
      <c r="A91" s="11" t="s">
        <v>22</v>
      </c>
      <c r="B91" s="9">
        <v>45784.0</v>
      </c>
      <c r="C91" s="10">
        <v>60432.49999999999</v>
      </c>
      <c r="D91" s="10">
        <f t="shared" si="1"/>
        <v>60432.5</v>
      </c>
      <c r="E91" s="8" t="s">
        <v>18</v>
      </c>
    </row>
    <row r="92">
      <c r="A92" s="8" t="s">
        <v>5</v>
      </c>
      <c r="B92" s="9">
        <v>45809.0</v>
      </c>
      <c r="C92" s="10">
        <v>4585722.75</v>
      </c>
      <c r="D92" s="10">
        <f t="shared" si="1"/>
        <v>-4585722.75</v>
      </c>
      <c r="E92" s="8" t="s">
        <v>6</v>
      </c>
    </row>
    <row r="93">
      <c r="A93" s="8" t="s">
        <v>7</v>
      </c>
      <c r="B93" s="9">
        <v>45809.0</v>
      </c>
      <c r="C93" s="10">
        <v>296700.0</v>
      </c>
      <c r="D93" s="10">
        <f t="shared" si="1"/>
        <v>-296700</v>
      </c>
      <c r="E93" s="8" t="s">
        <v>6</v>
      </c>
    </row>
    <row r="94">
      <c r="A94" s="8" t="s">
        <v>8</v>
      </c>
      <c r="B94" s="9">
        <v>45809.0</v>
      </c>
      <c r="C94" s="10">
        <v>108674.99999999999</v>
      </c>
      <c r="D94" s="10">
        <f t="shared" si="1"/>
        <v>-108675</v>
      </c>
      <c r="E94" s="8" t="s">
        <v>6</v>
      </c>
    </row>
    <row r="95">
      <c r="A95" s="8" t="s">
        <v>22</v>
      </c>
      <c r="B95" s="9">
        <v>45809.0</v>
      </c>
      <c r="C95" s="10">
        <v>179055.0</v>
      </c>
      <c r="D95" s="10">
        <f t="shared" si="1"/>
        <v>-179055</v>
      </c>
      <c r="E95" s="8" t="s">
        <v>6</v>
      </c>
    </row>
    <row r="96">
      <c r="A96" s="8" t="s">
        <v>9</v>
      </c>
      <c r="B96" s="9">
        <v>45809.0</v>
      </c>
      <c r="C96" s="10">
        <v>205648.74999999997</v>
      </c>
      <c r="D96" s="10">
        <f t="shared" si="1"/>
        <v>-205648.75</v>
      </c>
      <c r="E96" s="8" t="s">
        <v>6</v>
      </c>
    </row>
    <row r="97">
      <c r="A97" s="8" t="s">
        <v>10</v>
      </c>
      <c r="B97" s="9">
        <v>45809.0</v>
      </c>
      <c r="C97" s="10">
        <v>1512744.4999999998</v>
      </c>
      <c r="D97" s="10">
        <f t="shared" si="1"/>
        <v>-1512744.5</v>
      </c>
      <c r="E97" s="8" t="s">
        <v>6</v>
      </c>
    </row>
    <row r="98">
      <c r="A98" s="8" t="s">
        <v>11</v>
      </c>
      <c r="B98" s="9">
        <v>45809.0</v>
      </c>
      <c r="C98" s="10">
        <v>1437500.0</v>
      </c>
      <c r="D98" s="10">
        <f t="shared" si="1"/>
        <v>-1437500</v>
      </c>
      <c r="E98" s="8" t="s">
        <v>6</v>
      </c>
    </row>
    <row r="99">
      <c r="A99" s="8" t="s">
        <v>12</v>
      </c>
      <c r="B99" s="9">
        <v>45809.0</v>
      </c>
      <c r="C99" s="10">
        <v>552000.0</v>
      </c>
      <c r="D99" s="10">
        <f t="shared" si="1"/>
        <v>-552000</v>
      </c>
      <c r="E99" s="8" t="s">
        <v>6</v>
      </c>
    </row>
    <row r="100">
      <c r="A100" s="8" t="s">
        <v>16</v>
      </c>
      <c r="B100" s="9">
        <v>45809.0</v>
      </c>
      <c r="C100" s="10">
        <v>57499.99999999999</v>
      </c>
      <c r="D100" s="10">
        <f t="shared" si="1"/>
        <v>-57500</v>
      </c>
      <c r="E100" s="8" t="s">
        <v>6</v>
      </c>
    </row>
    <row r="101">
      <c r="A101" s="8" t="s">
        <v>13</v>
      </c>
      <c r="B101" s="9">
        <v>45809.0</v>
      </c>
      <c r="C101" s="10">
        <v>626750.0</v>
      </c>
      <c r="D101" s="10">
        <f t="shared" si="1"/>
        <v>-626750</v>
      </c>
      <c r="E101" s="8" t="s">
        <v>6</v>
      </c>
    </row>
    <row r="102">
      <c r="A102" s="8" t="s">
        <v>14</v>
      </c>
      <c r="B102" s="12">
        <v>45809.0</v>
      </c>
      <c r="C102" s="10">
        <v>114999.99999999999</v>
      </c>
      <c r="D102" s="10">
        <f t="shared" si="1"/>
        <v>-115000</v>
      </c>
      <c r="E102" s="8" t="s">
        <v>6</v>
      </c>
    </row>
    <row r="103">
      <c r="A103" s="8" t="s">
        <v>15</v>
      </c>
      <c r="B103" s="9">
        <v>45809.0</v>
      </c>
      <c r="C103" s="10">
        <v>794040.4999999999</v>
      </c>
      <c r="D103" s="10">
        <f t="shared" si="1"/>
        <v>-794040.5</v>
      </c>
      <c r="E103" s="8" t="s">
        <v>6</v>
      </c>
    </row>
    <row r="104">
      <c r="A104" s="8" t="s">
        <v>17</v>
      </c>
      <c r="B104" s="9">
        <v>45810.0</v>
      </c>
      <c r="C104" s="10">
        <v>5451690.0</v>
      </c>
      <c r="D104" s="10">
        <f t="shared" si="1"/>
        <v>5451690</v>
      </c>
      <c r="E104" s="8" t="s">
        <v>18</v>
      </c>
    </row>
    <row r="105">
      <c r="A105" s="8" t="s">
        <v>19</v>
      </c>
      <c r="B105" s="9">
        <v>45811.0</v>
      </c>
      <c r="C105" s="10">
        <v>3500024.9999999995</v>
      </c>
      <c r="D105" s="10">
        <f t="shared" si="1"/>
        <v>3500025</v>
      </c>
      <c r="E105" s="8" t="s">
        <v>18</v>
      </c>
    </row>
    <row r="106">
      <c r="A106" s="8" t="s">
        <v>20</v>
      </c>
      <c r="B106" s="9">
        <v>45812.0</v>
      </c>
      <c r="C106" s="10">
        <v>937249.9999999999</v>
      </c>
      <c r="D106" s="10">
        <f t="shared" si="1"/>
        <v>937250</v>
      </c>
      <c r="E106" s="8" t="s">
        <v>18</v>
      </c>
    </row>
    <row r="107">
      <c r="A107" s="8" t="s">
        <v>5</v>
      </c>
      <c r="B107" s="9">
        <v>45813.0</v>
      </c>
      <c r="C107" s="10">
        <v>4833105.0</v>
      </c>
      <c r="D107" s="10">
        <f t="shared" si="1"/>
        <v>4833105</v>
      </c>
      <c r="E107" s="8" t="s">
        <v>18</v>
      </c>
    </row>
    <row r="108">
      <c r="A108" s="8" t="s">
        <v>21</v>
      </c>
      <c r="B108" s="9">
        <v>45814.0</v>
      </c>
      <c r="C108" s="10">
        <v>351325.0</v>
      </c>
      <c r="D108" s="10">
        <f t="shared" si="1"/>
        <v>351325</v>
      </c>
      <c r="E108" s="8" t="s">
        <v>18</v>
      </c>
    </row>
    <row r="109">
      <c r="A109" s="11" t="s">
        <v>22</v>
      </c>
      <c r="B109" s="9">
        <v>45815.0</v>
      </c>
      <c r="C109" s="10">
        <v>60432.49999999999</v>
      </c>
      <c r="D109" s="10">
        <f t="shared" si="1"/>
        <v>60432.5</v>
      </c>
      <c r="E109" s="8" t="s">
        <v>18</v>
      </c>
    </row>
    <row r="110">
      <c r="A110" s="8" t="s">
        <v>5</v>
      </c>
      <c r="B110" s="9">
        <v>45839.0</v>
      </c>
      <c r="C110" s="10">
        <v>4574838.0</v>
      </c>
      <c r="D110" s="10">
        <f t="shared" si="1"/>
        <v>-4574838</v>
      </c>
      <c r="E110" s="8" t="s">
        <v>6</v>
      </c>
    </row>
    <row r="111">
      <c r="A111" s="8" t="s">
        <v>7</v>
      </c>
      <c r="B111" s="9">
        <v>45839.0</v>
      </c>
      <c r="C111" s="10">
        <v>237934.99999999997</v>
      </c>
      <c r="D111" s="10">
        <f t="shared" si="1"/>
        <v>-237935</v>
      </c>
      <c r="E111" s="8" t="s">
        <v>6</v>
      </c>
    </row>
    <row r="112">
      <c r="A112" s="8" t="s">
        <v>8</v>
      </c>
      <c r="B112" s="9">
        <v>45839.0</v>
      </c>
      <c r="C112" s="10">
        <v>104649.99999999999</v>
      </c>
      <c r="D112" s="10">
        <f t="shared" si="1"/>
        <v>-104650</v>
      </c>
      <c r="E112" s="8" t="s">
        <v>6</v>
      </c>
    </row>
    <row r="113">
      <c r="A113" s="8" t="s">
        <v>22</v>
      </c>
      <c r="B113" s="9">
        <v>45839.0</v>
      </c>
      <c r="C113" s="10">
        <v>179055.0</v>
      </c>
      <c r="D113" s="10">
        <f t="shared" si="1"/>
        <v>-179055</v>
      </c>
      <c r="E113" s="8" t="s">
        <v>6</v>
      </c>
    </row>
    <row r="114">
      <c r="A114" s="8" t="s">
        <v>9</v>
      </c>
      <c r="B114" s="9">
        <v>45839.0</v>
      </c>
      <c r="C114" s="10">
        <v>353912.5</v>
      </c>
      <c r="D114" s="10">
        <f t="shared" si="1"/>
        <v>-353912.5</v>
      </c>
      <c r="E114" s="8" t="s">
        <v>6</v>
      </c>
    </row>
    <row r="115">
      <c r="A115" s="8" t="s">
        <v>10</v>
      </c>
      <c r="B115" s="9">
        <v>45839.0</v>
      </c>
      <c r="C115" s="10">
        <v>2332660.0</v>
      </c>
      <c r="D115" s="10">
        <f t="shared" si="1"/>
        <v>-2332660</v>
      </c>
      <c r="E115" s="8" t="s">
        <v>6</v>
      </c>
    </row>
    <row r="116">
      <c r="A116" s="8" t="s">
        <v>11</v>
      </c>
      <c r="B116" s="9">
        <v>45839.0</v>
      </c>
      <c r="C116" s="10">
        <v>1598212.4999999998</v>
      </c>
      <c r="D116" s="10">
        <f t="shared" si="1"/>
        <v>-1598212.5</v>
      </c>
      <c r="E116" s="8" t="s">
        <v>6</v>
      </c>
    </row>
    <row r="117">
      <c r="A117" s="8" t="s">
        <v>12</v>
      </c>
      <c r="B117" s="9">
        <v>45839.0</v>
      </c>
      <c r="C117" s="10">
        <v>1500060.0</v>
      </c>
      <c r="D117" s="10">
        <f t="shared" si="1"/>
        <v>-1500060</v>
      </c>
      <c r="E117" s="8" t="s">
        <v>6</v>
      </c>
    </row>
    <row r="118">
      <c r="A118" s="8" t="s">
        <v>16</v>
      </c>
      <c r="B118" s="9">
        <v>45839.0</v>
      </c>
      <c r="C118" s="10">
        <v>57499.99999999999</v>
      </c>
      <c r="D118" s="10">
        <f t="shared" si="1"/>
        <v>-57500</v>
      </c>
      <c r="E118" s="8" t="s">
        <v>6</v>
      </c>
    </row>
    <row r="119">
      <c r="A119" s="8" t="s">
        <v>13</v>
      </c>
      <c r="B119" s="9">
        <v>45839.0</v>
      </c>
      <c r="C119" s="10">
        <v>626750.0</v>
      </c>
      <c r="D119" s="10">
        <f t="shared" si="1"/>
        <v>-626750</v>
      </c>
      <c r="E119" s="8" t="s">
        <v>6</v>
      </c>
    </row>
    <row r="120">
      <c r="A120" s="8" t="s">
        <v>14</v>
      </c>
      <c r="B120" s="9">
        <v>45839.0</v>
      </c>
      <c r="C120" s="10">
        <v>114999.99999999999</v>
      </c>
      <c r="D120" s="10">
        <f t="shared" si="1"/>
        <v>-115000</v>
      </c>
      <c r="E120" s="8" t="s">
        <v>6</v>
      </c>
    </row>
    <row r="121">
      <c r="A121" s="8" t="s">
        <v>15</v>
      </c>
      <c r="B121" s="9">
        <v>45839.0</v>
      </c>
      <c r="C121" s="10">
        <v>794040.4999999999</v>
      </c>
      <c r="D121" s="10">
        <f t="shared" si="1"/>
        <v>-794040.5</v>
      </c>
      <c r="E121" s="8" t="s">
        <v>6</v>
      </c>
    </row>
    <row r="122">
      <c r="A122" s="8" t="s">
        <v>17</v>
      </c>
      <c r="B122" s="9">
        <v>45840.0</v>
      </c>
      <c r="C122" s="10">
        <v>5634275.5</v>
      </c>
      <c r="D122" s="10">
        <f t="shared" si="1"/>
        <v>5634275.5</v>
      </c>
      <c r="E122" s="8" t="s">
        <v>18</v>
      </c>
    </row>
    <row r="123">
      <c r="A123" s="8" t="s">
        <v>19</v>
      </c>
      <c r="B123" s="9">
        <v>45841.0</v>
      </c>
      <c r="C123" s="10">
        <v>4365400.0</v>
      </c>
      <c r="D123" s="10">
        <f t="shared" si="1"/>
        <v>4365400</v>
      </c>
      <c r="E123" s="8" t="s">
        <v>18</v>
      </c>
    </row>
    <row r="124">
      <c r="A124" s="8" t="s">
        <v>20</v>
      </c>
      <c r="B124" s="9">
        <v>45842.0</v>
      </c>
      <c r="C124" s="10">
        <v>1463455.5</v>
      </c>
      <c r="D124" s="10">
        <f t="shared" si="1"/>
        <v>1463455.5</v>
      </c>
      <c r="E124" s="8" t="s">
        <v>18</v>
      </c>
    </row>
    <row r="125">
      <c r="A125" s="8" t="s">
        <v>5</v>
      </c>
      <c r="B125" s="9">
        <v>45843.0</v>
      </c>
      <c r="C125" s="10">
        <v>3917325.4999999995</v>
      </c>
      <c r="D125" s="10">
        <f t="shared" si="1"/>
        <v>3917325.5</v>
      </c>
      <c r="E125" s="8" t="s">
        <v>18</v>
      </c>
    </row>
    <row r="126">
      <c r="A126" s="8" t="s">
        <v>21</v>
      </c>
      <c r="B126" s="9">
        <v>45844.0</v>
      </c>
      <c r="C126" s="10">
        <v>657880.5</v>
      </c>
      <c r="D126" s="10">
        <f t="shared" si="1"/>
        <v>657880.5</v>
      </c>
      <c r="E126" s="8" t="s">
        <v>18</v>
      </c>
    </row>
    <row r="127">
      <c r="A127" s="11" t="s">
        <v>22</v>
      </c>
      <c r="B127" s="9">
        <v>45845.0</v>
      </c>
      <c r="C127" s="10">
        <v>61662.99999999999</v>
      </c>
      <c r="D127" s="10">
        <f t="shared" si="1"/>
        <v>61663</v>
      </c>
      <c r="E127" s="8" t="s">
        <v>18</v>
      </c>
    </row>
    <row r="128">
      <c r="A128" s="8" t="s">
        <v>5</v>
      </c>
      <c r="B128" s="9">
        <v>45870.0</v>
      </c>
      <c r="C128" s="10">
        <v>4658977.75</v>
      </c>
      <c r="D128" s="10">
        <f t="shared" si="1"/>
        <v>-4658977.75</v>
      </c>
      <c r="E128" s="8" t="s">
        <v>6</v>
      </c>
    </row>
    <row r="129">
      <c r="A129" s="8" t="s">
        <v>7</v>
      </c>
      <c r="B129" s="9">
        <v>45870.0</v>
      </c>
      <c r="C129" s="10">
        <v>505999.99999999994</v>
      </c>
      <c r="D129" s="10">
        <f t="shared" si="1"/>
        <v>-506000</v>
      </c>
      <c r="E129" s="8" t="s">
        <v>6</v>
      </c>
    </row>
    <row r="130">
      <c r="A130" s="8" t="s">
        <v>8</v>
      </c>
      <c r="B130" s="9">
        <v>45870.0</v>
      </c>
      <c r="C130" s="10">
        <v>107007.49999999999</v>
      </c>
      <c r="D130" s="10">
        <f t="shared" si="1"/>
        <v>-107007.5</v>
      </c>
      <c r="E130" s="8" t="s">
        <v>6</v>
      </c>
    </row>
    <row r="131">
      <c r="A131" s="8" t="s">
        <v>22</v>
      </c>
      <c r="B131" s="9">
        <v>45870.0</v>
      </c>
      <c r="C131" s="10">
        <v>36340.0</v>
      </c>
      <c r="D131" s="10">
        <f t="shared" si="1"/>
        <v>-36340</v>
      </c>
      <c r="E131" s="8" t="s">
        <v>6</v>
      </c>
    </row>
    <row r="132">
      <c r="A132" s="8" t="s">
        <v>9</v>
      </c>
      <c r="B132" s="9">
        <v>45870.0</v>
      </c>
      <c r="C132" s="10">
        <v>196649.99999999997</v>
      </c>
      <c r="D132" s="10">
        <f t="shared" si="1"/>
        <v>-196650</v>
      </c>
      <c r="E132" s="8" t="s">
        <v>6</v>
      </c>
    </row>
    <row r="133">
      <c r="A133" s="8" t="s">
        <v>10</v>
      </c>
      <c r="B133" s="9">
        <v>45870.0</v>
      </c>
      <c r="C133" s="10">
        <v>1274303.5</v>
      </c>
      <c r="D133" s="10">
        <f t="shared" si="1"/>
        <v>-1274303.5</v>
      </c>
      <c r="E133" s="8" t="s">
        <v>6</v>
      </c>
    </row>
    <row r="134">
      <c r="A134" s="8" t="s">
        <v>11</v>
      </c>
      <c r="B134" s="9">
        <v>45870.0</v>
      </c>
      <c r="C134" s="10">
        <v>1305250.0</v>
      </c>
      <c r="D134" s="10">
        <f t="shared" si="1"/>
        <v>-1305250</v>
      </c>
      <c r="E134" s="8" t="s">
        <v>6</v>
      </c>
    </row>
    <row r="135">
      <c r="A135" s="8" t="s">
        <v>12</v>
      </c>
      <c r="B135" s="9">
        <v>45870.0</v>
      </c>
      <c r="C135" s="10">
        <v>883165.4999999999</v>
      </c>
      <c r="D135" s="10">
        <f t="shared" si="1"/>
        <v>-883165.5</v>
      </c>
      <c r="E135" s="8" t="s">
        <v>6</v>
      </c>
    </row>
    <row r="136">
      <c r="A136" s="8" t="s">
        <v>16</v>
      </c>
      <c r="B136" s="9">
        <v>45870.0</v>
      </c>
      <c r="C136" s="10">
        <v>69000.0</v>
      </c>
      <c r="D136" s="10">
        <f t="shared" si="1"/>
        <v>-69000</v>
      </c>
      <c r="E136" s="8" t="s">
        <v>6</v>
      </c>
    </row>
    <row r="137">
      <c r="A137" s="8" t="s">
        <v>13</v>
      </c>
      <c r="B137" s="9">
        <v>45870.0</v>
      </c>
      <c r="C137" s="10">
        <v>661250.0</v>
      </c>
      <c r="D137" s="10">
        <f t="shared" si="1"/>
        <v>-661250</v>
      </c>
      <c r="E137" s="8" t="s">
        <v>6</v>
      </c>
    </row>
    <row r="138">
      <c r="A138" s="8" t="s">
        <v>14</v>
      </c>
      <c r="B138" s="9">
        <v>45870.0</v>
      </c>
      <c r="C138" s="10">
        <v>114999.99999999999</v>
      </c>
      <c r="D138" s="10">
        <f t="shared" si="1"/>
        <v>-115000</v>
      </c>
      <c r="E138" s="8" t="s">
        <v>6</v>
      </c>
    </row>
    <row r="139">
      <c r="A139" s="8" t="s">
        <v>15</v>
      </c>
      <c r="B139" s="9">
        <v>45870.0</v>
      </c>
      <c r="C139" s="10">
        <v>295854.75</v>
      </c>
      <c r="D139" s="10">
        <f t="shared" si="1"/>
        <v>-295854.75</v>
      </c>
      <c r="E139" s="8" t="s">
        <v>6</v>
      </c>
    </row>
    <row r="140">
      <c r="A140" s="8" t="s">
        <v>17</v>
      </c>
      <c r="B140" s="9">
        <v>45871.0</v>
      </c>
      <c r="C140" s="10">
        <v>4961801.5</v>
      </c>
      <c r="D140" s="10">
        <f t="shared" si="1"/>
        <v>4961801.5</v>
      </c>
      <c r="E140" s="8" t="s">
        <v>18</v>
      </c>
    </row>
    <row r="141">
      <c r="A141" s="8" t="s">
        <v>19</v>
      </c>
      <c r="B141" s="9">
        <v>45872.0</v>
      </c>
      <c r="C141" s="10">
        <v>5177265.5</v>
      </c>
      <c r="D141" s="10">
        <f t="shared" si="1"/>
        <v>5177265.5</v>
      </c>
      <c r="E141" s="8" t="s">
        <v>18</v>
      </c>
    </row>
    <row r="142">
      <c r="A142" s="8" t="s">
        <v>20</v>
      </c>
      <c r="B142" s="9">
        <v>45873.0</v>
      </c>
      <c r="C142" s="10">
        <v>1002454.9999999999</v>
      </c>
      <c r="D142" s="10">
        <f t="shared" si="1"/>
        <v>1002455</v>
      </c>
      <c r="E142" s="8" t="s">
        <v>18</v>
      </c>
    </row>
    <row r="143">
      <c r="A143" s="8" t="s">
        <v>5</v>
      </c>
      <c r="B143" s="9">
        <v>45874.0</v>
      </c>
      <c r="C143" s="10">
        <v>4575700.5</v>
      </c>
      <c r="D143" s="10">
        <f t="shared" si="1"/>
        <v>4575700.5</v>
      </c>
      <c r="E143" s="8" t="s">
        <v>18</v>
      </c>
    </row>
    <row r="144">
      <c r="A144" s="8" t="s">
        <v>21</v>
      </c>
      <c r="B144" s="9">
        <v>45875.0</v>
      </c>
      <c r="C144" s="10">
        <v>519799.99999999994</v>
      </c>
      <c r="D144" s="10">
        <f t="shared" si="1"/>
        <v>519800</v>
      </c>
      <c r="E144" s="8" t="s">
        <v>18</v>
      </c>
    </row>
    <row r="145">
      <c r="A145" s="11" t="s">
        <v>22</v>
      </c>
      <c r="B145" s="9">
        <v>45876.0</v>
      </c>
      <c r="C145" s="10">
        <v>52784.99999999999</v>
      </c>
      <c r="D145" s="10">
        <f t="shared" si="1"/>
        <v>52785</v>
      </c>
      <c r="E145" s="8" t="s">
        <v>18</v>
      </c>
    </row>
    <row r="146">
      <c r="A146" s="8" t="s">
        <v>5</v>
      </c>
      <c r="B146" s="9">
        <v>45901.0</v>
      </c>
      <c r="C146" s="10">
        <v>3901984.4999999995</v>
      </c>
      <c r="D146" s="10">
        <f t="shared" si="1"/>
        <v>-3901984.5</v>
      </c>
      <c r="E146" s="11" t="s">
        <v>6</v>
      </c>
    </row>
    <row r="147">
      <c r="A147" s="8" t="s">
        <v>7</v>
      </c>
      <c r="B147" s="9">
        <v>45901.0</v>
      </c>
      <c r="C147" s="10">
        <v>442749.99999999994</v>
      </c>
      <c r="D147" s="10">
        <f t="shared" si="1"/>
        <v>-442750</v>
      </c>
      <c r="E147" s="8" t="s">
        <v>6</v>
      </c>
    </row>
    <row r="148">
      <c r="A148" s="8" t="s">
        <v>8</v>
      </c>
      <c r="B148" s="9">
        <v>45901.0</v>
      </c>
      <c r="C148" s="10">
        <v>124199.99999999999</v>
      </c>
      <c r="D148" s="10">
        <f t="shared" si="1"/>
        <v>-124200</v>
      </c>
      <c r="E148" s="8" t="s">
        <v>6</v>
      </c>
    </row>
    <row r="149">
      <c r="A149" s="8" t="s">
        <v>22</v>
      </c>
      <c r="B149" s="9">
        <v>45901.0</v>
      </c>
      <c r="C149" s="10">
        <v>55372.49999999999</v>
      </c>
      <c r="D149" s="10">
        <f t="shared" si="1"/>
        <v>-55372.5</v>
      </c>
      <c r="E149" s="8" t="s">
        <v>6</v>
      </c>
    </row>
    <row r="150">
      <c r="A150" s="8" t="s">
        <v>9</v>
      </c>
      <c r="B150" s="9">
        <v>45901.0</v>
      </c>
      <c r="C150" s="10">
        <v>206424.99999999997</v>
      </c>
      <c r="D150" s="10">
        <f t="shared" si="1"/>
        <v>-206425</v>
      </c>
      <c r="E150" s="8" t="s">
        <v>6</v>
      </c>
    </row>
    <row r="151">
      <c r="A151" s="8" t="s">
        <v>10</v>
      </c>
      <c r="B151" s="9">
        <v>45901.0</v>
      </c>
      <c r="C151" s="10">
        <v>1124125.0</v>
      </c>
      <c r="D151" s="10">
        <f t="shared" si="1"/>
        <v>-1124125</v>
      </c>
      <c r="E151" s="8" t="s">
        <v>6</v>
      </c>
    </row>
    <row r="152">
      <c r="A152" s="8" t="s">
        <v>11</v>
      </c>
      <c r="B152" s="9">
        <v>45901.0</v>
      </c>
      <c r="C152" s="10">
        <v>901024.9999999999</v>
      </c>
      <c r="D152" s="10">
        <f t="shared" si="1"/>
        <v>-901025</v>
      </c>
      <c r="E152" s="8" t="s">
        <v>6</v>
      </c>
    </row>
    <row r="153">
      <c r="A153" s="8" t="s">
        <v>12</v>
      </c>
      <c r="B153" s="9">
        <v>45901.0</v>
      </c>
      <c r="C153" s="10">
        <v>730250.0</v>
      </c>
      <c r="D153" s="10">
        <f t="shared" si="1"/>
        <v>-730250</v>
      </c>
      <c r="E153" s="8" t="s">
        <v>6</v>
      </c>
    </row>
    <row r="154">
      <c r="A154" s="8" t="s">
        <v>16</v>
      </c>
      <c r="B154" s="9">
        <v>45901.0</v>
      </c>
      <c r="C154" s="10">
        <v>69000.0</v>
      </c>
      <c r="D154" s="10">
        <f t="shared" si="1"/>
        <v>-69000</v>
      </c>
      <c r="E154" s="8" t="s">
        <v>6</v>
      </c>
    </row>
    <row r="155">
      <c r="A155" s="8" t="s">
        <v>13</v>
      </c>
      <c r="B155" s="9">
        <v>45901.0</v>
      </c>
      <c r="C155" s="10">
        <v>661250.0</v>
      </c>
      <c r="D155" s="10">
        <f t="shared" si="1"/>
        <v>-661250</v>
      </c>
      <c r="E155" s="8" t="s">
        <v>6</v>
      </c>
    </row>
    <row r="156">
      <c r="A156" s="8" t="s">
        <v>14</v>
      </c>
      <c r="B156" s="9">
        <v>45901.0</v>
      </c>
      <c r="C156" s="10">
        <v>114999.99999999999</v>
      </c>
      <c r="D156" s="10">
        <f t="shared" si="1"/>
        <v>-115000</v>
      </c>
      <c r="E156" s="8" t="s">
        <v>6</v>
      </c>
    </row>
    <row r="157">
      <c r="A157" s="8" t="s">
        <v>15</v>
      </c>
      <c r="B157" s="9">
        <v>45901.0</v>
      </c>
      <c r="C157" s="10">
        <v>272617.85</v>
      </c>
      <c r="D157" s="10">
        <f t="shared" si="1"/>
        <v>-272617.85</v>
      </c>
      <c r="E157" s="8" t="s">
        <v>6</v>
      </c>
    </row>
    <row r="158">
      <c r="A158" s="8" t="s">
        <v>17</v>
      </c>
      <c r="B158" s="9">
        <v>45902.0</v>
      </c>
      <c r="C158" s="10">
        <v>4759735.0</v>
      </c>
      <c r="D158" s="10">
        <f t="shared" si="1"/>
        <v>4759735</v>
      </c>
      <c r="E158" s="8" t="s">
        <v>18</v>
      </c>
    </row>
    <row r="159">
      <c r="A159" s="8" t="s">
        <v>19</v>
      </c>
      <c r="B159" s="9">
        <v>45903.0</v>
      </c>
      <c r="C159" s="10">
        <v>4257300.0</v>
      </c>
      <c r="D159" s="10">
        <f t="shared" si="1"/>
        <v>4257300</v>
      </c>
      <c r="E159" s="8" t="s">
        <v>18</v>
      </c>
    </row>
    <row r="160">
      <c r="A160" s="8" t="s">
        <v>20</v>
      </c>
      <c r="B160" s="9">
        <v>45904.0</v>
      </c>
      <c r="C160" s="10">
        <v>817074.9999999999</v>
      </c>
      <c r="D160" s="10">
        <f t="shared" si="1"/>
        <v>817075</v>
      </c>
      <c r="E160" s="8" t="s">
        <v>18</v>
      </c>
    </row>
    <row r="161">
      <c r="A161" s="8" t="s">
        <v>5</v>
      </c>
      <c r="B161" s="9">
        <v>45905.0</v>
      </c>
      <c r="C161" s="10">
        <v>4122979.9999999995</v>
      </c>
      <c r="D161" s="10">
        <f t="shared" si="1"/>
        <v>4122980</v>
      </c>
      <c r="E161" s="8" t="s">
        <v>18</v>
      </c>
    </row>
    <row r="162">
      <c r="A162" s="8" t="s">
        <v>21</v>
      </c>
      <c r="B162" s="9">
        <v>45906.0</v>
      </c>
      <c r="C162" s="10">
        <v>537165.0</v>
      </c>
      <c r="D162" s="10">
        <f t="shared" si="1"/>
        <v>537165</v>
      </c>
      <c r="E162" s="8" t="s">
        <v>18</v>
      </c>
    </row>
    <row r="163">
      <c r="A163" s="11" t="s">
        <v>22</v>
      </c>
      <c r="B163" s="9">
        <v>45907.0</v>
      </c>
      <c r="C163" s="10">
        <v>175202.5</v>
      </c>
      <c r="D163" s="10">
        <f t="shared" si="1"/>
        <v>175202.5</v>
      </c>
      <c r="E163" s="8" t="s">
        <v>18</v>
      </c>
    </row>
    <row r="164">
      <c r="A164" s="8" t="s">
        <v>5</v>
      </c>
      <c r="B164" s="9">
        <v>45931.0</v>
      </c>
      <c r="C164" s="10">
        <v>3815147.9999999995</v>
      </c>
      <c r="D164" s="10">
        <f t="shared" si="1"/>
        <v>-3815148</v>
      </c>
      <c r="E164" s="8" t="s">
        <v>6</v>
      </c>
    </row>
    <row r="165">
      <c r="A165" s="8" t="s">
        <v>7</v>
      </c>
      <c r="B165" s="9">
        <v>45931.0</v>
      </c>
      <c r="C165" s="10">
        <v>345920.0</v>
      </c>
      <c r="D165" s="10">
        <f t="shared" si="1"/>
        <v>-345920</v>
      </c>
      <c r="E165" s="8" t="s">
        <v>6</v>
      </c>
    </row>
    <row r="166">
      <c r="A166" s="8" t="s">
        <v>8</v>
      </c>
      <c r="B166" s="9">
        <v>45931.0</v>
      </c>
      <c r="C166" s="10">
        <v>186300.0</v>
      </c>
      <c r="D166" s="10">
        <f t="shared" si="1"/>
        <v>-186300</v>
      </c>
      <c r="E166" s="8" t="s">
        <v>6</v>
      </c>
    </row>
    <row r="167">
      <c r="A167" s="8" t="s">
        <v>22</v>
      </c>
      <c r="B167" s="9">
        <v>45931.0</v>
      </c>
      <c r="C167" s="10">
        <v>115459.99999999999</v>
      </c>
      <c r="D167" s="10">
        <f t="shared" si="1"/>
        <v>-115460</v>
      </c>
      <c r="E167" s="8" t="s">
        <v>6</v>
      </c>
    </row>
    <row r="168">
      <c r="A168" s="8" t="s">
        <v>9</v>
      </c>
      <c r="B168" s="9">
        <v>45931.0</v>
      </c>
      <c r="C168" s="10">
        <v>340572.5</v>
      </c>
      <c r="D168" s="10">
        <f t="shared" si="1"/>
        <v>-340572.5</v>
      </c>
      <c r="E168" s="8" t="s">
        <v>6</v>
      </c>
    </row>
    <row r="169">
      <c r="A169" s="8" t="s">
        <v>10</v>
      </c>
      <c r="B169" s="9">
        <v>45931.0</v>
      </c>
      <c r="C169" s="10">
        <v>1267070.0</v>
      </c>
      <c r="D169" s="10">
        <f t="shared" si="1"/>
        <v>-1267070</v>
      </c>
      <c r="E169" s="8" t="s">
        <v>6</v>
      </c>
    </row>
    <row r="170">
      <c r="A170" s="8" t="s">
        <v>11</v>
      </c>
      <c r="B170" s="9">
        <v>45931.0</v>
      </c>
      <c r="C170" s="10">
        <v>1020624.9999999999</v>
      </c>
      <c r="D170" s="10">
        <f t="shared" si="1"/>
        <v>-1020625</v>
      </c>
      <c r="E170" s="8" t="s">
        <v>6</v>
      </c>
    </row>
    <row r="171">
      <c r="A171" s="8" t="s">
        <v>12</v>
      </c>
      <c r="B171" s="9">
        <v>45931.0</v>
      </c>
      <c r="C171" s="10">
        <v>993024.9999999999</v>
      </c>
      <c r="D171" s="10">
        <f t="shared" si="1"/>
        <v>-993025</v>
      </c>
      <c r="E171" s="8" t="s">
        <v>6</v>
      </c>
    </row>
    <row r="172">
      <c r="A172" s="8" t="s">
        <v>16</v>
      </c>
      <c r="B172" s="9">
        <v>45931.0</v>
      </c>
      <c r="C172" s="10">
        <v>69000.0</v>
      </c>
      <c r="D172" s="10">
        <f t="shared" si="1"/>
        <v>-69000</v>
      </c>
      <c r="E172" s="8" t="s">
        <v>6</v>
      </c>
    </row>
    <row r="173">
      <c r="A173" s="8" t="s">
        <v>13</v>
      </c>
      <c r="B173" s="9">
        <v>45931.0</v>
      </c>
      <c r="C173" s="10">
        <v>695750.0</v>
      </c>
      <c r="D173" s="10">
        <f t="shared" si="1"/>
        <v>-695750</v>
      </c>
      <c r="E173" s="8" t="s">
        <v>6</v>
      </c>
    </row>
    <row r="174">
      <c r="A174" s="8" t="s">
        <v>14</v>
      </c>
      <c r="B174" s="9">
        <v>45931.0</v>
      </c>
      <c r="C174" s="10">
        <v>114999.99999999999</v>
      </c>
      <c r="D174" s="10">
        <f t="shared" si="1"/>
        <v>-115000</v>
      </c>
      <c r="E174" s="8" t="s">
        <v>6</v>
      </c>
    </row>
    <row r="175">
      <c r="A175" s="8" t="s">
        <v>15</v>
      </c>
      <c r="B175" s="9">
        <v>45931.0</v>
      </c>
      <c r="C175" s="10">
        <v>1248762.0</v>
      </c>
      <c r="D175" s="10">
        <f t="shared" si="1"/>
        <v>-1248762</v>
      </c>
      <c r="E175" s="8" t="s">
        <v>6</v>
      </c>
    </row>
    <row r="176">
      <c r="A176" s="8" t="s">
        <v>24</v>
      </c>
      <c r="B176" s="9">
        <v>45931.0</v>
      </c>
      <c r="C176" s="10">
        <v>57499.99999999999</v>
      </c>
      <c r="D176" s="10">
        <f t="shared" si="1"/>
        <v>-57500</v>
      </c>
      <c r="E176" s="8" t="s">
        <v>6</v>
      </c>
    </row>
    <row r="177">
      <c r="A177" s="8" t="s">
        <v>17</v>
      </c>
      <c r="B177" s="9">
        <v>45932.0</v>
      </c>
      <c r="C177" s="10">
        <v>4759735.0</v>
      </c>
      <c r="D177" s="10">
        <f t="shared" si="1"/>
        <v>4759735</v>
      </c>
      <c r="E177" s="8" t="s">
        <v>18</v>
      </c>
    </row>
    <row r="178">
      <c r="A178" s="8" t="s">
        <v>19</v>
      </c>
      <c r="B178" s="9">
        <v>45933.0</v>
      </c>
      <c r="C178" s="10">
        <v>4257300.0</v>
      </c>
      <c r="D178" s="10">
        <f t="shared" si="1"/>
        <v>4257300</v>
      </c>
      <c r="E178" s="8" t="s">
        <v>18</v>
      </c>
    </row>
    <row r="179">
      <c r="A179" s="8" t="s">
        <v>20</v>
      </c>
      <c r="B179" s="9">
        <v>45934.0</v>
      </c>
      <c r="C179" s="10">
        <v>817074.9999999999</v>
      </c>
      <c r="D179" s="10">
        <f t="shared" si="1"/>
        <v>817075</v>
      </c>
      <c r="E179" s="8" t="s">
        <v>18</v>
      </c>
    </row>
    <row r="180">
      <c r="A180" s="8" t="s">
        <v>5</v>
      </c>
      <c r="B180" s="9">
        <v>45935.0</v>
      </c>
      <c r="C180" s="10">
        <v>4122979.9999999995</v>
      </c>
      <c r="D180" s="10">
        <f t="shared" si="1"/>
        <v>4122980</v>
      </c>
      <c r="E180" s="8" t="s">
        <v>18</v>
      </c>
    </row>
    <row r="181">
      <c r="A181" s="8" t="s">
        <v>21</v>
      </c>
      <c r="B181" s="9">
        <v>45936.0</v>
      </c>
      <c r="C181" s="10">
        <v>537165.0</v>
      </c>
      <c r="D181" s="10">
        <f t="shared" si="1"/>
        <v>537165</v>
      </c>
      <c r="E181" s="8" t="s">
        <v>18</v>
      </c>
    </row>
    <row r="182">
      <c r="A182" s="11" t="s">
        <v>22</v>
      </c>
      <c r="B182" s="9">
        <v>45937.0</v>
      </c>
      <c r="C182" s="10">
        <v>175202.5</v>
      </c>
      <c r="D182" s="10">
        <f t="shared" si="1"/>
        <v>175202.5</v>
      </c>
      <c r="E182" s="8" t="s">
        <v>18</v>
      </c>
    </row>
    <row r="183">
      <c r="A183" s="8" t="s">
        <v>5</v>
      </c>
      <c r="B183" s="9">
        <v>45962.0</v>
      </c>
      <c r="C183" s="10">
        <v>4881232.5</v>
      </c>
      <c r="D183" s="10">
        <f t="shared" si="1"/>
        <v>-4881232.5</v>
      </c>
      <c r="E183" s="8" t="s">
        <v>6</v>
      </c>
    </row>
    <row r="184">
      <c r="A184" s="8" t="s">
        <v>7</v>
      </c>
      <c r="B184" s="9">
        <v>45962.0</v>
      </c>
      <c r="C184" s="10">
        <v>431824.99999999994</v>
      </c>
      <c r="D184" s="10">
        <f t="shared" si="1"/>
        <v>-431825</v>
      </c>
      <c r="E184" s="8" t="s">
        <v>6</v>
      </c>
    </row>
    <row r="185">
      <c r="A185" s="8" t="s">
        <v>8</v>
      </c>
      <c r="B185" s="9">
        <v>45962.0</v>
      </c>
      <c r="C185" s="10">
        <v>160482.5</v>
      </c>
      <c r="D185" s="10">
        <f t="shared" si="1"/>
        <v>-160482.5</v>
      </c>
      <c r="E185" s="8" t="s">
        <v>6</v>
      </c>
    </row>
    <row r="186">
      <c r="A186" s="8" t="s">
        <v>22</v>
      </c>
      <c r="B186" s="9">
        <v>45962.0</v>
      </c>
      <c r="C186" s="10">
        <v>110802.49999999999</v>
      </c>
      <c r="D186" s="10">
        <f t="shared" si="1"/>
        <v>-110802.5</v>
      </c>
      <c r="E186" s="8" t="s">
        <v>6</v>
      </c>
    </row>
    <row r="187">
      <c r="A187" s="8" t="s">
        <v>9</v>
      </c>
      <c r="B187" s="9">
        <v>45962.0</v>
      </c>
      <c r="C187" s="10">
        <v>318320.0</v>
      </c>
      <c r="D187" s="10">
        <f t="shared" si="1"/>
        <v>-318320</v>
      </c>
      <c r="E187" s="8" t="s">
        <v>6</v>
      </c>
    </row>
    <row r="188">
      <c r="A188" s="8" t="s">
        <v>10</v>
      </c>
      <c r="B188" s="9">
        <v>45962.0</v>
      </c>
      <c r="C188" s="10">
        <v>1639899.9999999998</v>
      </c>
      <c r="D188" s="10">
        <f t="shared" si="1"/>
        <v>-1639900</v>
      </c>
      <c r="E188" s="8" t="s">
        <v>6</v>
      </c>
    </row>
    <row r="189">
      <c r="A189" s="8" t="s">
        <v>11</v>
      </c>
      <c r="B189" s="9">
        <v>45962.0</v>
      </c>
      <c r="C189" s="10">
        <v>853472.4999999999</v>
      </c>
      <c r="D189" s="10">
        <f t="shared" si="1"/>
        <v>-853472.5</v>
      </c>
      <c r="E189" s="8" t="s">
        <v>6</v>
      </c>
    </row>
    <row r="190">
      <c r="A190" s="8" t="s">
        <v>12</v>
      </c>
      <c r="B190" s="9">
        <v>45962.0</v>
      </c>
      <c r="C190" s="10">
        <v>1210950.0</v>
      </c>
      <c r="D190" s="10">
        <f t="shared" si="1"/>
        <v>-1210950</v>
      </c>
      <c r="E190" s="8" t="s">
        <v>6</v>
      </c>
    </row>
    <row r="191">
      <c r="A191" s="8" t="s">
        <v>16</v>
      </c>
      <c r="B191" s="9">
        <v>45962.0</v>
      </c>
      <c r="C191" s="10">
        <v>69000.0</v>
      </c>
      <c r="D191" s="10">
        <f t="shared" si="1"/>
        <v>-69000</v>
      </c>
      <c r="E191" s="8" t="s">
        <v>6</v>
      </c>
    </row>
    <row r="192">
      <c r="A192" s="8" t="s">
        <v>13</v>
      </c>
      <c r="B192" s="9">
        <v>45962.0</v>
      </c>
      <c r="C192" s="10">
        <v>695750.0</v>
      </c>
      <c r="D192" s="10">
        <f t="shared" si="1"/>
        <v>-695750</v>
      </c>
      <c r="E192" s="8" t="s">
        <v>6</v>
      </c>
    </row>
    <row r="193">
      <c r="A193" s="8" t="s">
        <v>14</v>
      </c>
      <c r="B193" s="9">
        <v>45962.0</v>
      </c>
      <c r="C193" s="10">
        <v>114999.99999999999</v>
      </c>
      <c r="D193" s="10">
        <f t="shared" si="1"/>
        <v>-115000</v>
      </c>
      <c r="E193" s="8" t="s">
        <v>6</v>
      </c>
    </row>
    <row r="194">
      <c r="A194" s="8" t="s">
        <v>15</v>
      </c>
      <c r="B194" s="9">
        <v>45962.0</v>
      </c>
      <c r="C194" s="10">
        <v>72323.5</v>
      </c>
      <c r="D194" s="10">
        <f t="shared" si="1"/>
        <v>-72323.5</v>
      </c>
      <c r="E194" s="8" t="s">
        <v>6</v>
      </c>
    </row>
    <row r="195">
      <c r="A195" s="8" t="s">
        <v>15</v>
      </c>
      <c r="B195" s="9">
        <v>45962.0</v>
      </c>
      <c r="C195" s="10">
        <v>1007054.9999999999</v>
      </c>
      <c r="D195" s="10">
        <f t="shared" si="1"/>
        <v>-1007055</v>
      </c>
      <c r="E195" s="11" t="s">
        <v>6</v>
      </c>
    </row>
    <row r="196">
      <c r="A196" s="8" t="s">
        <v>17</v>
      </c>
      <c r="B196" s="9">
        <v>45963.0</v>
      </c>
      <c r="C196" s="10">
        <v>4469475.0</v>
      </c>
      <c r="D196" s="10">
        <f t="shared" si="1"/>
        <v>4469475</v>
      </c>
      <c r="E196" s="8" t="s">
        <v>18</v>
      </c>
    </row>
    <row r="197">
      <c r="A197" s="8" t="s">
        <v>19</v>
      </c>
      <c r="B197" s="9">
        <v>45964.0</v>
      </c>
      <c r="C197" s="10">
        <v>4953050.0</v>
      </c>
      <c r="D197" s="10">
        <f t="shared" si="1"/>
        <v>4953050</v>
      </c>
      <c r="E197" s="8" t="s">
        <v>18</v>
      </c>
    </row>
    <row r="198">
      <c r="A198" s="8" t="s">
        <v>20</v>
      </c>
      <c r="B198" s="9">
        <v>45965.0</v>
      </c>
      <c r="C198" s="10">
        <v>768774.9999999999</v>
      </c>
      <c r="D198" s="10">
        <f t="shared" si="1"/>
        <v>768775</v>
      </c>
      <c r="E198" s="8" t="s">
        <v>18</v>
      </c>
    </row>
    <row r="199">
      <c r="A199" s="8" t="s">
        <v>5</v>
      </c>
      <c r="B199" s="9">
        <v>45966.0</v>
      </c>
      <c r="C199" s="10">
        <v>3904939.9999999995</v>
      </c>
      <c r="D199" s="10">
        <f t="shared" si="1"/>
        <v>3904940</v>
      </c>
      <c r="E199" s="8" t="s">
        <v>18</v>
      </c>
    </row>
    <row r="200">
      <c r="A200" s="8" t="s">
        <v>21</v>
      </c>
      <c r="B200" s="9">
        <v>45967.0</v>
      </c>
      <c r="C200" s="10">
        <v>476099.99999999994</v>
      </c>
      <c r="D200" s="10">
        <f t="shared" si="1"/>
        <v>476100</v>
      </c>
      <c r="E200" s="8" t="s">
        <v>18</v>
      </c>
    </row>
    <row r="201">
      <c r="A201" s="11" t="s">
        <v>22</v>
      </c>
      <c r="B201" s="9">
        <v>45968.0</v>
      </c>
      <c r="C201" s="10">
        <v>184805.0</v>
      </c>
      <c r="D201" s="10">
        <f t="shared" si="1"/>
        <v>184805</v>
      </c>
      <c r="E201" s="8" t="s">
        <v>18</v>
      </c>
    </row>
    <row r="202">
      <c r="A202" s="8" t="s">
        <v>5</v>
      </c>
      <c r="B202" s="9">
        <v>45992.0</v>
      </c>
      <c r="C202" s="10">
        <v>4452225.0</v>
      </c>
      <c r="D202" s="10">
        <f t="shared" si="1"/>
        <v>-4452225</v>
      </c>
      <c r="E202" s="8" t="s">
        <v>6</v>
      </c>
    </row>
    <row r="203">
      <c r="A203" s="8" t="s">
        <v>7</v>
      </c>
      <c r="B203" s="9">
        <v>45992.0</v>
      </c>
      <c r="C203" s="10">
        <v>450799.99999999994</v>
      </c>
      <c r="D203" s="10">
        <f t="shared" si="1"/>
        <v>-450800</v>
      </c>
      <c r="E203" s="8" t="s">
        <v>6</v>
      </c>
    </row>
    <row r="204">
      <c r="A204" s="8" t="s">
        <v>8</v>
      </c>
      <c r="B204" s="9">
        <v>45992.0</v>
      </c>
      <c r="C204" s="10">
        <v>121612.49999999999</v>
      </c>
      <c r="D204" s="10">
        <f t="shared" si="1"/>
        <v>-121612.5</v>
      </c>
      <c r="E204" s="8" t="s">
        <v>6</v>
      </c>
    </row>
    <row r="205">
      <c r="A205" s="8" t="s">
        <v>22</v>
      </c>
      <c r="B205" s="9">
        <v>45992.0</v>
      </c>
      <c r="C205" s="10">
        <v>107927.49999999999</v>
      </c>
      <c r="D205" s="10">
        <f t="shared" si="1"/>
        <v>-107927.5</v>
      </c>
      <c r="E205" s="8" t="s">
        <v>6</v>
      </c>
    </row>
    <row r="206">
      <c r="A206" s="8" t="s">
        <v>9</v>
      </c>
      <c r="B206" s="9">
        <v>45992.0</v>
      </c>
      <c r="C206" s="10">
        <v>267662.5</v>
      </c>
      <c r="D206" s="10">
        <f t="shared" si="1"/>
        <v>-267662.5</v>
      </c>
      <c r="E206" s="8" t="s">
        <v>6</v>
      </c>
    </row>
    <row r="207">
      <c r="A207" s="8" t="s">
        <v>10</v>
      </c>
      <c r="B207" s="9">
        <v>45992.0</v>
      </c>
      <c r="C207" s="10">
        <v>1823612.4999999998</v>
      </c>
      <c r="D207" s="10">
        <f t="shared" si="1"/>
        <v>-1823612.5</v>
      </c>
      <c r="E207" s="8" t="s">
        <v>6</v>
      </c>
    </row>
    <row r="208">
      <c r="A208" s="8" t="s">
        <v>11</v>
      </c>
      <c r="B208" s="9">
        <v>45992.0</v>
      </c>
      <c r="C208" s="10">
        <v>533025.0</v>
      </c>
      <c r="D208" s="10">
        <f t="shared" si="1"/>
        <v>-533025</v>
      </c>
      <c r="E208" s="8" t="s">
        <v>6</v>
      </c>
    </row>
    <row r="209">
      <c r="A209" s="8" t="s">
        <v>12</v>
      </c>
      <c r="B209" s="9">
        <v>45993.0</v>
      </c>
      <c r="C209" s="10">
        <v>1620982.4999999998</v>
      </c>
      <c r="D209" s="10">
        <f t="shared" si="1"/>
        <v>-1620982.5</v>
      </c>
      <c r="E209" s="8" t="s">
        <v>6</v>
      </c>
    </row>
    <row r="210">
      <c r="A210" s="8" t="s">
        <v>16</v>
      </c>
      <c r="B210" s="9">
        <v>45994.0</v>
      </c>
      <c r="C210" s="10">
        <v>57499.99999999999</v>
      </c>
      <c r="D210" s="10">
        <f t="shared" si="1"/>
        <v>-57500</v>
      </c>
      <c r="E210" s="8" t="s">
        <v>6</v>
      </c>
    </row>
    <row r="211">
      <c r="A211" s="8" t="s">
        <v>13</v>
      </c>
      <c r="B211" s="9">
        <v>45995.0</v>
      </c>
      <c r="C211" s="10">
        <v>667000.0</v>
      </c>
      <c r="D211" s="10">
        <f t="shared" si="1"/>
        <v>-667000</v>
      </c>
      <c r="E211" s="8" t="s">
        <v>6</v>
      </c>
    </row>
    <row r="212">
      <c r="A212" s="8" t="s">
        <v>14</v>
      </c>
      <c r="B212" s="9">
        <v>45996.0</v>
      </c>
      <c r="C212" s="10">
        <v>114999.99999999999</v>
      </c>
      <c r="D212" s="10">
        <f t="shared" si="1"/>
        <v>-115000</v>
      </c>
      <c r="E212" s="8" t="s">
        <v>6</v>
      </c>
    </row>
    <row r="213">
      <c r="A213" s="8" t="s">
        <v>15</v>
      </c>
      <c r="B213" s="9">
        <v>45992.0</v>
      </c>
      <c r="C213" s="10">
        <v>977614.9999999999</v>
      </c>
      <c r="D213" s="10">
        <f t="shared" si="1"/>
        <v>-977615</v>
      </c>
      <c r="E213" s="8" t="s">
        <v>6</v>
      </c>
    </row>
    <row r="214">
      <c r="A214" s="8" t="s">
        <v>24</v>
      </c>
      <c r="B214" s="9">
        <v>45993.0</v>
      </c>
      <c r="C214" s="10">
        <v>34500.0</v>
      </c>
      <c r="D214" s="10">
        <f t="shared" si="1"/>
        <v>-34500</v>
      </c>
      <c r="E214" s="8" t="s">
        <v>6</v>
      </c>
    </row>
    <row r="215">
      <c r="A215" s="8" t="s">
        <v>17</v>
      </c>
      <c r="B215" s="9">
        <v>45994.0</v>
      </c>
      <c r="C215" s="10">
        <v>5470665.0</v>
      </c>
      <c r="D215" s="10">
        <f t="shared" si="1"/>
        <v>5470665</v>
      </c>
      <c r="E215" s="8" t="s">
        <v>18</v>
      </c>
    </row>
    <row r="216">
      <c r="A216" s="8" t="s">
        <v>19</v>
      </c>
      <c r="B216" s="9">
        <v>45995.0</v>
      </c>
      <c r="C216" s="10">
        <v>3913449.9999999995</v>
      </c>
      <c r="D216" s="10">
        <f t="shared" si="1"/>
        <v>3913450</v>
      </c>
      <c r="E216" s="8" t="s">
        <v>18</v>
      </c>
    </row>
    <row r="217">
      <c r="A217" s="8" t="s">
        <v>20</v>
      </c>
      <c r="B217" s="9">
        <v>45996.0</v>
      </c>
      <c r="C217" s="10">
        <v>623875.0</v>
      </c>
      <c r="D217" s="10">
        <f t="shared" si="1"/>
        <v>623875</v>
      </c>
      <c r="E217" s="8" t="s">
        <v>18</v>
      </c>
    </row>
    <row r="218">
      <c r="A218" s="8" t="s">
        <v>5</v>
      </c>
      <c r="B218" s="9">
        <v>45997.0</v>
      </c>
      <c r="C218" s="10">
        <v>3683909.9999999995</v>
      </c>
      <c r="D218" s="10">
        <f t="shared" si="1"/>
        <v>3683910</v>
      </c>
      <c r="E218" s="8" t="s">
        <v>18</v>
      </c>
    </row>
    <row r="219">
      <c r="A219" s="8" t="s">
        <v>21</v>
      </c>
      <c r="B219" s="9">
        <v>45998.0</v>
      </c>
      <c r="C219" s="10">
        <v>284625.0</v>
      </c>
      <c r="D219" s="10">
        <f t="shared" si="1"/>
        <v>284625</v>
      </c>
      <c r="E219" s="8" t="s">
        <v>18</v>
      </c>
    </row>
    <row r="220">
      <c r="A220" s="11" t="s">
        <v>22</v>
      </c>
      <c r="B220" s="9">
        <v>45992.0</v>
      </c>
      <c r="C220" s="10">
        <v>134435.0</v>
      </c>
      <c r="D220" s="10">
        <f t="shared" si="1"/>
        <v>134435</v>
      </c>
      <c r="E220" s="8" t="s">
        <v>18</v>
      </c>
    </row>
    <row r="221">
      <c r="A221" s="8" t="s">
        <v>25</v>
      </c>
      <c r="B221" s="9">
        <v>45993.0</v>
      </c>
      <c r="C221" s="10">
        <v>1622362.4999999998</v>
      </c>
      <c r="D221" s="10">
        <f t="shared" si="1"/>
        <v>0</v>
      </c>
      <c r="E221" s="11" t="s">
        <v>26</v>
      </c>
    </row>
    <row r="222">
      <c r="A222" s="8" t="s">
        <v>7</v>
      </c>
      <c r="B222" s="9">
        <v>46023.0</v>
      </c>
      <c r="C222" s="10">
        <v>300897.5</v>
      </c>
      <c r="D222" s="10">
        <f t="shared" si="1"/>
        <v>-300897.5</v>
      </c>
      <c r="E222" s="8" t="s">
        <v>6</v>
      </c>
    </row>
    <row r="223">
      <c r="A223" s="8" t="s">
        <v>8</v>
      </c>
      <c r="B223" s="9">
        <v>46024.0</v>
      </c>
      <c r="C223" s="10">
        <v>134665.0</v>
      </c>
      <c r="D223" s="10">
        <f t="shared" si="1"/>
        <v>-134665</v>
      </c>
      <c r="E223" s="8" t="s">
        <v>6</v>
      </c>
    </row>
    <row r="224">
      <c r="A224" s="8" t="s">
        <v>22</v>
      </c>
      <c r="B224" s="9">
        <v>46025.0</v>
      </c>
      <c r="C224" s="10">
        <v>103867.99999999999</v>
      </c>
      <c r="D224" s="10">
        <f t="shared" si="1"/>
        <v>-103868</v>
      </c>
      <c r="E224" s="8" t="s">
        <v>6</v>
      </c>
    </row>
    <row r="225">
      <c r="A225" s="8" t="s">
        <v>9</v>
      </c>
      <c r="B225" s="9">
        <v>46026.0</v>
      </c>
      <c r="C225" s="10">
        <v>267662.5</v>
      </c>
      <c r="D225" s="10">
        <f t="shared" si="1"/>
        <v>-267662.5</v>
      </c>
      <c r="E225" s="8" t="s">
        <v>6</v>
      </c>
    </row>
    <row r="226">
      <c r="A226" s="8" t="s">
        <v>10</v>
      </c>
      <c r="B226" s="9">
        <v>46027.0</v>
      </c>
      <c r="C226" s="10">
        <v>683767.0</v>
      </c>
      <c r="D226" s="10">
        <f t="shared" si="1"/>
        <v>-683767</v>
      </c>
      <c r="E226" s="8" t="s">
        <v>6</v>
      </c>
    </row>
    <row r="227">
      <c r="A227" s="8" t="s">
        <v>11</v>
      </c>
      <c r="B227" s="9">
        <v>46028.0</v>
      </c>
      <c r="C227" s="10">
        <v>493004.99999999994</v>
      </c>
      <c r="D227" s="10">
        <f t="shared" si="1"/>
        <v>-493005</v>
      </c>
      <c r="E227" s="8" t="s">
        <v>6</v>
      </c>
    </row>
    <row r="228">
      <c r="A228" s="8" t="s">
        <v>12</v>
      </c>
      <c r="B228" s="9">
        <v>46029.0</v>
      </c>
      <c r="C228" s="10">
        <v>1937059.9999999998</v>
      </c>
      <c r="D228" s="10">
        <f t="shared" si="1"/>
        <v>-1937060</v>
      </c>
      <c r="E228" s="8" t="s">
        <v>6</v>
      </c>
    </row>
    <row r="229">
      <c r="A229" s="8" t="s">
        <v>16</v>
      </c>
      <c r="B229" s="9">
        <v>46023.0</v>
      </c>
      <c r="C229" s="10">
        <v>57499.99999999999</v>
      </c>
      <c r="D229" s="10">
        <f t="shared" si="1"/>
        <v>-57500</v>
      </c>
      <c r="E229" s="8" t="s">
        <v>6</v>
      </c>
    </row>
    <row r="230">
      <c r="A230" s="8" t="s">
        <v>13</v>
      </c>
      <c r="B230" s="9">
        <v>46031.0</v>
      </c>
      <c r="C230" s="10">
        <v>552000.0</v>
      </c>
      <c r="D230" s="10">
        <f t="shared" si="1"/>
        <v>-552000</v>
      </c>
      <c r="E230" s="8" t="s">
        <v>6</v>
      </c>
    </row>
    <row r="231">
      <c r="A231" s="8" t="s">
        <v>14</v>
      </c>
      <c r="B231" s="9">
        <v>46032.0</v>
      </c>
      <c r="C231" s="10">
        <v>114999.99999999999</v>
      </c>
      <c r="D231" s="10">
        <f t="shared" si="1"/>
        <v>-115000</v>
      </c>
      <c r="E231" s="8" t="s">
        <v>6</v>
      </c>
    </row>
    <row r="232">
      <c r="A232" s="8" t="s">
        <v>15</v>
      </c>
      <c r="B232" s="9">
        <v>46033.0</v>
      </c>
      <c r="C232" s="10">
        <v>926554.9999999999</v>
      </c>
      <c r="D232" s="10">
        <f t="shared" si="1"/>
        <v>-926555</v>
      </c>
      <c r="E232" s="8" t="s">
        <v>6</v>
      </c>
    </row>
    <row r="233">
      <c r="A233" s="8" t="s">
        <v>15</v>
      </c>
      <c r="B233" s="9">
        <v>46034.0</v>
      </c>
      <c r="C233" s="10">
        <v>26921.499999999996</v>
      </c>
      <c r="D233" s="10">
        <f t="shared" si="1"/>
        <v>-26921.5</v>
      </c>
      <c r="E233" s="8" t="s">
        <v>6</v>
      </c>
    </row>
    <row r="234">
      <c r="A234" s="8" t="s">
        <v>24</v>
      </c>
      <c r="B234" s="9">
        <v>46023.0</v>
      </c>
      <c r="C234" s="10">
        <v>92000.0</v>
      </c>
      <c r="D234" s="10">
        <f t="shared" si="1"/>
        <v>-92000</v>
      </c>
      <c r="E234" s="8" t="s">
        <v>6</v>
      </c>
    </row>
    <row r="235">
      <c r="A235" s="8" t="s">
        <v>17</v>
      </c>
      <c r="B235" s="9">
        <v>46023.0</v>
      </c>
      <c r="C235" s="10">
        <v>4146324.9999999995</v>
      </c>
      <c r="D235" s="10">
        <f t="shared" si="1"/>
        <v>4146325</v>
      </c>
      <c r="E235" s="8" t="s">
        <v>18</v>
      </c>
    </row>
    <row r="236">
      <c r="A236" s="8" t="s">
        <v>19</v>
      </c>
      <c r="B236" s="9">
        <v>46024.0</v>
      </c>
      <c r="C236" s="10">
        <v>2921000.0</v>
      </c>
      <c r="D236" s="10">
        <f t="shared" si="1"/>
        <v>2921000</v>
      </c>
      <c r="E236" s="8" t="s">
        <v>18</v>
      </c>
    </row>
    <row r="237">
      <c r="A237" s="8" t="s">
        <v>20</v>
      </c>
      <c r="B237" s="9">
        <v>46025.0</v>
      </c>
      <c r="C237" s="10">
        <v>631925.0</v>
      </c>
      <c r="D237" s="10">
        <f t="shared" si="1"/>
        <v>631925</v>
      </c>
      <c r="E237" s="8" t="s">
        <v>18</v>
      </c>
    </row>
    <row r="238">
      <c r="A238" s="8" t="s">
        <v>5</v>
      </c>
      <c r="B238" s="9">
        <v>46026.0</v>
      </c>
      <c r="C238" s="10">
        <v>3024154.9999999995</v>
      </c>
      <c r="D238" s="10">
        <f t="shared" si="1"/>
        <v>3024155</v>
      </c>
      <c r="E238" s="8" t="s">
        <v>18</v>
      </c>
    </row>
    <row r="239">
      <c r="A239" s="8" t="s">
        <v>21</v>
      </c>
      <c r="B239" s="9">
        <v>46027.0</v>
      </c>
      <c r="C239" s="10">
        <v>264040.0</v>
      </c>
      <c r="D239" s="10">
        <f t="shared" si="1"/>
        <v>264040</v>
      </c>
      <c r="E239" s="8" t="s">
        <v>18</v>
      </c>
    </row>
    <row r="240">
      <c r="A240" s="11" t="s">
        <v>22</v>
      </c>
      <c r="B240" s="9">
        <v>46028.0</v>
      </c>
      <c r="C240" s="10">
        <v>105224.99999999999</v>
      </c>
      <c r="D240" s="10">
        <f t="shared" si="1"/>
        <v>105225</v>
      </c>
      <c r="E240" s="8" t="s">
        <v>18</v>
      </c>
    </row>
    <row r="241">
      <c r="A241" s="8" t="s">
        <v>5</v>
      </c>
      <c r="B241" s="9">
        <v>46054.0</v>
      </c>
      <c r="C241" s="10">
        <v>2726972.0</v>
      </c>
      <c r="D241" s="10">
        <f t="shared" si="1"/>
        <v>-2726972</v>
      </c>
      <c r="E241" s="8" t="s">
        <v>6</v>
      </c>
    </row>
    <row r="242">
      <c r="A242" s="8" t="s">
        <v>7</v>
      </c>
      <c r="B242" s="9">
        <v>46054.0</v>
      </c>
      <c r="C242" s="10">
        <v>249549.99999999997</v>
      </c>
      <c r="D242" s="10">
        <f t="shared" si="1"/>
        <v>-249550</v>
      </c>
      <c r="E242" s="8" t="s">
        <v>6</v>
      </c>
    </row>
    <row r="243">
      <c r="A243" s="8" t="s">
        <v>8</v>
      </c>
      <c r="B243" s="9">
        <v>46054.0</v>
      </c>
      <c r="C243" s="10">
        <v>87975.0</v>
      </c>
      <c r="D243" s="10">
        <f t="shared" si="1"/>
        <v>-87975</v>
      </c>
      <c r="E243" s="8" t="s">
        <v>6</v>
      </c>
    </row>
    <row r="244">
      <c r="A244" s="8" t="s">
        <v>22</v>
      </c>
      <c r="B244" s="9">
        <v>46054.0</v>
      </c>
      <c r="C244" s="10">
        <v>93782.5</v>
      </c>
      <c r="D244" s="10">
        <f t="shared" si="1"/>
        <v>-93782.5</v>
      </c>
      <c r="E244" s="8" t="s">
        <v>6</v>
      </c>
    </row>
    <row r="245">
      <c r="A245" s="8" t="s">
        <v>9</v>
      </c>
      <c r="B245" s="9">
        <v>46055.0</v>
      </c>
      <c r="C245" s="10">
        <v>301127.5</v>
      </c>
      <c r="D245" s="10">
        <f t="shared" si="1"/>
        <v>-301127.5</v>
      </c>
      <c r="E245" s="8" t="s">
        <v>6</v>
      </c>
    </row>
    <row r="246">
      <c r="A246" s="8" t="s">
        <v>10</v>
      </c>
      <c r="B246" s="9">
        <v>46056.0</v>
      </c>
      <c r="C246" s="10">
        <v>530150.0</v>
      </c>
      <c r="D246" s="10">
        <f t="shared" si="1"/>
        <v>-530150</v>
      </c>
      <c r="E246" s="8" t="s">
        <v>6</v>
      </c>
    </row>
    <row r="247">
      <c r="A247" s="8" t="s">
        <v>11</v>
      </c>
      <c r="B247" s="9">
        <v>46057.0</v>
      </c>
      <c r="C247" s="10">
        <v>683560.0</v>
      </c>
      <c r="D247" s="10">
        <f t="shared" si="1"/>
        <v>-683560</v>
      </c>
      <c r="E247" s="8" t="s">
        <v>6</v>
      </c>
    </row>
    <row r="248">
      <c r="A248" s="8" t="s">
        <v>12</v>
      </c>
      <c r="B248" s="9">
        <v>46058.0</v>
      </c>
      <c r="C248" s="10">
        <v>1390235.0</v>
      </c>
      <c r="D248" s="10">
        <f t="shared" si="1"/>
        <v>-1390235</v>
      </c>
      <c r="E248" s="8" t="s">
        <v>6</v>
      </c>
    </row>
    <row r="249">
      <c r="A249" s="8" t="s">
        <v>16</v>
      </c>
      <c r="B249" s="9">
        <v>46059.0</v>
      </c>
      <c r="C249" s="10">
        <v>57499.99999999999</v>
      </c>
      <c r="D249" s="10">
        <f t="shared" si="1"/>
        <v>-57500</v>
      </c>
      <c r="E249" s="8" t="s">
        <v>6</v>
      </c>
    </row>
    <row r="250">
      <c r="A250" s="8" t="s">
        <v>13</v>
      </c>
      <c r="B250" s="9">
        <v>46060.0</v>
      </c>
      <c r="C250" s="10">
        <v>592250.0</v>
      </c>
      <c r="D250" s="10">
        <f t="shared" si="1"/>
        <v>-592250</v>
      </c>
      <c r="E250" s="8" t="s">
        <v>6</v>
      </c>
    </row>
    <row r="251">
      <c r="A251" s="8" t="s">
        <v>14</v>
      </c>
      <c r="B251" s="9">
        <v>46061.0</v>
      </c>
      <c r="C251" s="10">
        <v>114999.99999999999</v>
      </c>
      <c r="D251" s="10">
        <f t="shared" si="1"/>
        <v>-115000</v>
      </c>
      <c r="E251" s="8" t="s">
        <v>6</v>
      </c>
    </row>
    <row r="252">
      <c r="A252" s="8" t="s">
        <v>15</v>
      </c>
      <c r="B252" s="9">
        <v>46062.0</v>
      </c>
      <c r="C252" s="10">
        <v>110054.99999999999</v>
      </c>
      <c r="D252" s="10">
        <f t="shared" si="1"/>
        <v>-110055</v>
      </c>
      <c r="E252" s="8" t="s">
        <v>6</v>
      </c>
    </row>
    <row r="253">
      <c r="A253" s="8" t="s">
        <v>15</v>
      </c>
      <c r="B253" s="9">
        <v>46063.0</v>
      </c>
      <c r="C253" s="10">
        <v>21378.5</v>
      </c>
      <c r="D253" s="10">
        <f t="shared" si="1"/>
        <v>-21378.5</v>
      </c>
      <c r="E253" s="8" t="s">
        <v>6</v>
      </c>
    </row>
    <row r="254">
      <c r="A254" s="8" t="s">
        <v>24</v>
      </c>
      <c r="B254" s="9">
        <v>46064.0</v>
      </c>
      <c r="C254" s="10">
        <v>34500.0</v>
      </c>
      <c r="D254" s="10">
        <f t="shared" si="1"/>
        <v>-34500</v>
      </c>
      <c r="E254" s="8" t="s">
        <v>6</v>
      </c>
    </row>
    <row r="255">
      <c r="A255" s="8" t="s">
        <v>17</v>
      </c>
      <c r="B255" s="9">
        <v>46054.0</v>
      </c>
      <c r="C255" s="10">
        <v>3722894.9999999995</v>
      </c>
      <c r="D255" s="10">
        <f t="shared" si="1"/>
        <v>3722895</v>
      </c>
      <c r="E255" s="8" t="s">
        <v>18</v>
      </c>
    </row>
    <row r="256">
      <c r="A256" s="8" t="s">
        <v>19</v>
      </c>
      <c r="B256" s="9">
        <v>46055.0</v>
      </c>
      <c r="C256" s="10">
        <v>2768625.0</v>
      </c>
      <c r="D256" s="10">
        <f t="shared" si="1"/>
        <v>2768625</v>
      </c>
      <c r="E256" s="8" t="s">
        <v>18</v>
      </c>
    </row>
    <row r="257">
      <c r="A257" s="8" t="s">
        <v>20</v>
      </c>
      <c r="B257" s="9">
        <v>46056.0</v>
      </c>
      <c r="C257" s="10">
        <v>629050.0</v>
      </c>
      <c r="D257" s="10">
        <f t="shared" si="1"/>
        <v>629050</v>
      </c>
      <c r="E257" s="8" t="s">
        <v>18</v>
      </c>
    </row>
    <row r="258">
      <c r="A258" s="8" t="s">
        <v>5</v>
      </c>
      <c r="B258" s="9">
        <v>46057.0</v>
      </c>
      <c r="C258" s="10">
        <v>2725500.0</v>
      </c>
      <c r="D258" s="10">
        <f t="shared" si="1"/>
        <v>2725500</v>
      </c>
      <c r="E258" s="8" t="s">
        <v>18</v>
      </c>
    </row>
    <row r="259">
      <c r="A259" s="8" t="s">
        <v>21</v>
      </c>
      <c r="B259" s="9">
        <v>46058.0</v>
      </c>
      <c r="C259" s="10">
        <v>252079.99999999997</v>
      </c>
      <c r="D259" s="10">
        <f t="shared" si="1"/>
        <v>252080</v>
      </c>
      <c r="E259" s="8" t="s">
        <v>18</v>
      </c>
    </row>
    <row r="260">
      <c r="A260" s="11" t="s">
        <v>22</v>
      </c>
      <c r="B260" s="9">
        <v>46059.0</v>
      </c>
      <c r="C260" s="10">
        <v>109594.99999999999</v>
      </c>
      <c r="D260" s="10">
        <f t="shared" si="1"/>
        <v>109595</v>
      </c>
      <c r="E260" s="8" t="s">
        <v>18</v>
      </c>
    </row>
    <row r="261">
      <c r="A261" s="8" t="s">
        <v>5</v>
      </c>
      <c r="B261" s="9">
        <v>46082.0</v>
      </c>
      <c r="C261" s="10">
        <v>2871377.5</v>
      </c>
      <c r="D261" s="10">
        <f t="shared" si="1"/>
        <v>-2871377.5</v>
      </c>
      <c r="E261" s="8" t="s">
        <v>6</v>
      </c>
    </row>
    <row r="262">
      <c r="A262" s="8" t="s">
        <v>7</v>
      </c>
      <c r="B262" s="9">
        <v>46083.0</v>
      </c>
      <c r="C262" s="10">
        <v>225399.99999999997</v>
      </c>
      <c r="D262" s="10">
        <f t="shared" si="1"/>
        <v>-225400</v>
      </c>
      <c r="E262" s="8" t="s">
        <v>6</v>
      </c>
    </row>
    <row r="263">
      <c r="A263" s="8" t="s">
        <v>8</v>
      </c>
      <c r="B263" s="9">
        <v>46084.0</v>
      </c>
      <c r="C263" s="10">
        <v>139725.0</v>
      </c>
      <c r="D263" s="10">
        <f t="shared" si="1"/>
        <v>-139725</v>
      </c>
      <c r="E263" s="8" t="s">
        <v>6</v>
      </c>
    </row>
    <row r="264">
      <c r="A264" s="8" t="s">
        <v>22</v>
      </c>
      <c r="B264" s="9">
        <v>46085.0</v>
      </c>
      <c r="C264" s="10">
        <v>89688.5</v>
      </c>
      <c r="D264" s="10">
        <f t="shared" si="1"/>
        <v>-89688.5</v>
      </c>
      <c r="E264" s="8" t="s">
        <v>6</v>
      </c>
    </row>
    <row r="265">
      <c r="A265" s="8" t="s">
        <v>9</v>
      </c>
      <c r="B265" s="9">
        <v>46086.0</v>
      </c>
      <c r="C265" s="10">
        <v>296930.0</v>
      </c>
      <c r="D265" s="10">
        <f t="shared" si="1"/>
        <v>-296930</v>
      </c>
      <c r="E265" s="8" t="s">
        <v>6</v>
      </c>
    </row>
    <row r="266">
      <c r="A266" s="8" t="s">
        <v>10</v>
      </c>
      <c r="B266" s="9">
        <v>46087.0</v>
      </c>
      <c r="C266" s="10">
        <v>942999.9999999999</v>
      </c>
      <c r="D266" s="10">
        <f t="shared" si="1"/>
        <v>-943000</v>
      </c>
      <c r="E266" s="8" t="s">
        <v>6</v>
      </c>
    </row>
    <row r="267">
      <c r="A267" s="8" t="s">
        <v>11</v>
      </c>
      <c r="B267" s="9">
        <v>46088.0</v>
      </c>
      <c r="C267" s="10">
        <v>905164.9999999999</v>
      </c>
      <c r="D267" s="10">
        <f t="shared" si="1"/>
        <v>-905165</v>
      </c>
      <c r="E267" s="8" t="s">
        <v>6</v>
      </c>
    </row>
    <row r="268">
      <c r="A268" s="8" t="s">
        <v>12</v>
      </c>
      <c r="B268" s="9">
        <v>46089.0</v>
      </c>
      <c r="C268" s="10">
        <v>1220495.0</v>
      </c>
      <c r="D268" s="10">
        <f t="shared" si="1"/>
        <v>-1220495</v>
      </c>
      <c r="E268" s="8" t="s">
        <v>6</v>
      </c>
    </row>
    <row r="269">
      <c r="A269" s="8" t="s">
        <v>16</v>
      </c>
      <c r="B269" s="9">
        <v>46090.0</v>
      </c>
      <c r="C269" s="10">
        <v>57499.99999999999</v>
      </c>
      <c r="D269" s="10">
        <f t="shared" si="1"/>
        <v>-57500</v>
      </c>
      <c r="E269" s="8" t="s">
        <v>6</v>
      </c>
    </row>
    <row r="270">
      <c r="A270" s="8" t="s">
        <v>13</v>
      </c>
      <c r="B270" s="9">
        <v>46091.0</v>
      </c>
      <c r="C270" s="10">
        <v>546250.0</v>
      </c>
      <c r="D270" s="10">
        <f t="shared" si="1"/>
        <v>-546250</v>
      </c>
      <c r="E270" s="8" t="s">
        <v>6</v>
      </c>
    </row>
    <row r="271">
      <c r="A271" s="8" t="s">
        <v>14</v>
      </c>
      <c r="B271" s="9">
        <v>46092.0</v>
      </c>
      <c r="C271" s="10">
        <v>114999.99999999999</v>
      </c>
      <c r="D271" s="10">
        <f t="shared" si="1"/>
        <v>-115000</v>
      </c>
      <c r="E271" s="8" t="s">
        <v>6</v>
      </c>
    </row>
    <row r="272">
      <c r="A272" s="8" t="s">
        <v>15</v>
      </c>
      <c r="B272" s="9">
        <v>46093.0</v>
      </c>
      <c r="C272" s="10">
        <v>106012.74999999999</v>
      </c>
      <c r="D272" s="10">
        <f t="shared" si="1"/>
        <v>-106012.75</v>
      </c>
      <c r="E272" s="8" t="s">
        <v>6</v>
      </c>
    </row>
    <row r="273">
      <c r="A273" s="8" t="s">
        <v>24</v>
      </c>
      <c r="B273" s="9">
        <v>46095.0</v>
      </c>
      <c r="C273" s="10">
        <v>80500.0</v>
      </c>
      <c r="D273" s="10">
        <f t="shared" si="1"/>
        <v>-80500</v>
      </c>
      <c r="E273" s="8" t="s">
        <v>6</v>
      </c>
    </row>
    <row r="274">
      <c r="A274" s="8" t="s">
        <v>17</v>
      </c>
      <c r="B274" s="9">
        <v>46096.0</v>
      </c>
      <c r="C274" s="10">
        <v>4328370.0</v>
      </c>
      <c r="D274" s="10">
        <f t="shared" si="1"/>
        <v>4328370</v>
      </c>
      <c r="E274" s="8" t="s">
        <v>18</v>
      </c>
    </row>
    <row r="275">
      <c r="A275" s="8" t="s">
        <v>19</v>
      </c>
      <c r="B275" s="9">
        <v>46097.0</v>
      </c>
      <c r="C275" s="10">
        <v>3396524.9999999995</v>
      </c>
      <c r="D275" s="10">
        <f t="shared" si="1"/>
        <v>3396525</v>
      </c>
      <c r="E275" s="8" t="s">
        <v>18</v>
      </c>
    </row>
    <row r="276">
      <c r="A276" s="8" t="s">
        <v>20</v>
      </c>
      <c r="B276" s="9">
        <v>46098.0</v>
      </c>
      <c r="C276" s="10">
        <v>880324.9999999999</v>
      </c>
      <c r="D276" s="10">
        <f t="shared" si="1"/>
        <v>880325</v>
      </c>
      <c r="E276" s="8" t="s">
        <v>18</v>
      </c>
    </row>
    <row r="277">
      <c r="A277" s="8" t="s">
        <v>5</v>
      </c>
      <c r="B277" s="9">
        <v>46099.0</v>
      </c>
      <c r="C277" s="10">
        <v>3088094.9999999995</v>
      </c>
      <c r="D277" s="10">
        <f t="shared" si="1"/>
        <v>3088095</v>
      </c>
      <c r="E277" s="8" t="s">
        <v>18</v>
      </c>
    </row>
    <row r="278">
      <c r="A278" s="8" t="s">
        <v>21</v>
      </c>
      <c r="B278" s="9">
        <v>46100.0</v>
      </c>
      <c r="C278" s="10">
        <v>231264.99999999997</v>
      </c>
      <c r="D278" s="10">
        <f t="shared" si="1"/>
        <v>231265</v>
      </c>
      <c r="E278" s="8" t="s">
        <v>18</v>
      </c>
    </row>
    <row r="279">
      <c r="A279" s="8" t="s">
        <v>22</v>
      </c>
      <c r="B279" s="9">
        <v>46101.0</v>
      </c>
      <c r="C279" s="10">
        <v>171292.5</v>
      </c>
      <c r="D279" s="10">
        <f t="shared" si="1"/>
        <v>171292.5</v>
      </c>
      <c r="E279" s="8" t="s">
        <v>18</v>
      </c>
    </row>
    <row r="280">
      <c r="B280" s="9"/>
      <c r="C280" s="13"/>
      <c r="D280" s="10"/>
    </row>
    <row r="281">
      <c r="B281" s="9"/>
      <c r="C281" s="13"/>
      <c r="D281" s="10"/>
    </row>
    <row r="282">
      <c r="B282" s="9"/>
      <c r="C282" s="13"/>
      <c r="D282" s="10"/>
    </row>
    <row r="283">
      <c r="B283" s="9"/>
      <c r="C283" s="13"/>
      <c r="D283" s="10"/>
    </row>
    <row r="284">
      <c r="B284" s="9"/>
      <c r="C284" s="13"/>
      <c r="D284" s="10"/>
    </row>
    <row r="285">
      <c r="B285" s="9"/>
      <c r="C285" s="13"/>
      <c r="D285" s="10"/>
    </row>
    <row r="286">
      <c r="B286" s="9"/>
      <c r="C286" s="13"/>
      <c r="D286" s="10"/>
    </row>
    <row r="287">
      <c r="B287" s="9"/>
      <c r="C287" s="13"/>
      <c r="D287" s="13"/>
    </row>
    <row r="288">
      <c r="B288" s="9"/>
      <c r="C288" s="13"/>
      <c r="D288" s="13"/>
    </row>
    <row r="289">
      <c r="B289" s="9"/>
      <c r="C289" s="13"/>
      <c r="D289" s="13"/>
    </row>
    <row r="290">
      <c r="B290" s="9"/>
      <c r="C290" s="13"/>
      <c r="D290" s="13"/>
    </row>
    <row r="291">
      <c r="B291" s="9"/>
      <c r="C291" s="13"/>
      <c r="D291" s="13"/>
    </row>
    <row r="292">
      <c r="B292" s="9"/>
      <c r="C292" s="13"/>
      <c r="D292" s="13"/>
    </row>
    <row r="293">
      <c r="B293" s="9"/>
      <c r="C293" s="13"/>
      <c r="D293" s="13"/>
    </row>
    <row r="294">
      <c r="B294" s="9"/>
      <c r="C294" s="13"/>
      <c r="D294" s="13"/>
    </row>
    <row r="295">
      <c r="B295" s="9"/>
      <c r="C295" s="13"/>
      <c r="D295" s="13"/>
    </row>
    <row r="296">
      <c r="B296" s="9"/>
      <c r="C296" s="13"/>
      <c r="D296" s="13"/>
    </row>
    <row r="297">
      <c r="B297" s="9"/>
      <c r="C297" s="13"/>
      <c r="D297" s="13"/>
    </row>
    <row r="298">
      <c r="B298" s="9"/>
      <c r="C298" s="13"/>
      <c r="D298" s="13"/>
    </row>
    <row r="299">
      <c r="B299" s="9"/>
      <c r="C299" s="13"/>
      <c r="D299" s="13"/>
    </row>
    <row r="300">
      <c r="B300" s="9"/>
      <c r="C300" s="13"/>
      <c r="D300" s="13"/>
    </row>
    <row r="301">
      <c r="B301" s="9"/>
      <c r="C301" s="13"/>
      <c r="D301" s="13"/>
    </row>
    <row r="302">
      <c r="B302" s="9"/>
      <c r="C302" s="13"/>
      <c r="D302" s="13"/>
    </row>
    <row r="303">
      <c r="B303" s="9"/>
      <c r="C303" s="13"/>
      <c r="D303" s="13"/>
    </row>
    <row r="304">
      <c r="B304" s="9"/>
      <c r="C304" s="13"/>
      <c r="D304" s="13"/>
    </row>
    <row r="305">
      <c r="B305" s="9"/>
      <c r="C305" s="13"/>
      <c r="D305" s="13"/>
    </row>
    <row r="306">
      <c r="B306" s="9"/>
      <c r="C306" s="13"/>
      <c r="D306" s="13"/>
    </row>
    <row r="307">
      <c r="B307" s="9"/>
      <c r="C307" s="13"/>
      <c r="D307" s="13"/>
    </row>
    <row r="308">
      <c r="B308" s="9"/>
      <c r="C308" s="13"/>
      <c r="D308" s="13"/>
    </row>
    <row r="309">
      <c r="B309" s="9"/>
      <c r="C309" s="13"/>
      <c r="D309" s="13"/>
    </row>
    <row r="310">
      <c r="B310" s="9"/>
      <c r="C310" s="13"/>
      <c r="D310" s="13"/>
    </row>
    <row r="311">
      <c r="B311" s="9"/>
      <c r="C311" s="13"/>
      <c r="D311" s="13"/>
    </row>
    <row r="312">
      <c r="B312" s="9"/>
      <c r="C312" s="13"/>
      <c r="D312" s="13"/>
    </row>
    <row r="313">
      <c r="B313" s="9"/>
      <c r="C313" s="13"/>
      <c r="D313" s="13"/>
    </row>
    <row r="314">
      <c r="B314" s="9"/>
      <c r="C314" s="13"/>
      <c r="D314" s="13"/>
    </row>
    <row r="315">
      <c r="B315" s="9"/>
      <c r="C315" s="13"/>
      <c r="D315" s="13"/>
    </row>
    <row r="316">
      <c r="B316" s="9"/>
      <c r="C316" s="13"/>
      <c r="D316" s="13"/>
    </row>
    <row r="317">
      <c r="B317" s="9"/>
      <c r="C317" s="13"/>
      <c r="D317" s="13"/>
    </row>
    <row r="318">
      <c r="B318" s="9"/>
      <c r="C318" s="13"/>
      <c r="D318" s="13"/>
    </row>
    <row r="319">
      <c r="B319" s="9"/>
      <c r="C319" s="13"/>
      <c r="D319" s="13"/>
    </row>
    <row r="320">
      <c r="B320" s="9"/>
      <c r="C320" s="13"/>
      <c r="D320" s="13"/>
    </row>
    <row r="321">
      <c r="B321" s="9"/>
      <c r="C321" s="13"/>
      <c r="D321" s="13"/>
    </row>
    <row r="322">
      <c r="B322" s="9"/>
      <c r="C322" s="13"/>
      <c r="D322" s="13"/>
    </row>
    <row r="323">
      <c r="B323" s="9"/>
      <c r="C323" s="13"/>
      <c r="D323" s="13"/>
    </row>
    <row r="324">
      <c r="B324" s="9"/>
      <c r="C324" s="13"/>
      <c r="D324" s="13"/>
    </row>
    <row r="325">
      <c r="B325" s="9"/>
      <c r="C325" s="13"/>
      <c r="D325" s="13"/>
    </row>
    <row r="326">
      <c r="B326" s="9"/>
      <c r="C326" s="13"/>
      <c r="D326" s="13"/>
    </row>
    <row r="327">
      <c r="B327" s="9"/>
      <c r="C327" s="13"/>
      <c r="D327" s="13"/>
    </row>
    <row r="328">
      <c r="B328" s="9"/>
      <c r="C328" s="13"/>
      <c r="D328" s="13"/>
    </row>
    <row r="329">
      <c r="B329" s="9"/>
      <c r="C329" s="13"/>
      <c r="D329" s="13"/>
    </row>
    <row r="330">
      <c r="B330" s="9"/>
      <c r="C330" s="13"/>
      <c r="D330" s="13"/>
    </row>
    <row r="331">
      <c r="B331" s="9"/>
      <c r="C331" s="13"/>
      <c r="D331" s="13"/>
    </row>
    <row r="332">
      <c r="B332" s="9"/>
      <c r="C332" s="13"/>
      <c r="D332" s="13"/>
    </row>
    <row r="333">
      <c r="B333" s="9"/>
      <c r="C333" s="13"/>
      <c r="D333" s="13"/>
    </row>
    <row r="334">
      <c r="B334" s="9"/>
      <c r="C334" s="13"/>
      <c r="D334" s="13"/>
    </row>
    <row r="335">
      <c r="B335" s="9"/>
      <c r="C335" s="13"/>
      <c r="D335" s="13"/>
    </row>
    <row r="336">
      <c r="B336" s="9"/>
      <c r="C336" s="13"/>
      <c r="D336" s="13"/>
    </row>
    <row r="337">
      <c r="B337" s="9"/>
      <c r="C337" s="13"/>
      <c r="D337" s="13"/>
    </row>
    <row r="338">
      <c r="B338" s="9"/>
      <c r="C338" s="13"/>
      <c r="D338" s="13"/>
    </row>
    <row r="339">
      <c r="B339" s="9"/>
      <c r="C339" s="13"/>
      <c r="D339" s="13"/>
    </row>
    <row r="340">
      <c r="B340" s="9"/>
      <c r="C340" s="13"/>
      <c r="D340" s="13"/>
    </row>
    <row r="341">
      <c r="B341" s="9"/>
      <c r="C341" s="13"/>
      <c r="D341" s="13"/>
    </row>
    <row r="342">
      <c r="B342" s="9"/>
      <c r="C342" s="13"/>
      <c r="D342" s="13"/>
    </row>
    <row r="343">
      <c r="B343" s="9"/>
      <c r="C343" s="13"/>
      <c r="D343" s="13"/>
    </row>
    <row r="344">
      <c r="B344" s="9"/>
      <c r="C344" s="13"/>
      <c r="D344" s="13"/>
    </row>
    <row r="345">
      <c r="B345" s="9"/>
      <c r="C345" s="13"/>
      <c r="D345" s="13"/>
    </row>
    <row r="346">
      <c r="B346" s="9"/>
      <c r="C346" s="13"/>
      <c r="D346" s="13"/>
    </row>
    <row r="347">
      <c r="B347" s="9"/>
      <c r="C347" s="13"/>
      <c r="D347" s="13"/>
    </row>
    <row r="348">
      <c r="B348" s="9"/>
      <c r="C348" s="13"/>
      <c r="D348" s="13"/>
    </row>
    <row r="349">
      <c r="B349" s="9"/>
      <c r="C349" s="13"/>
      <c r="D349" s="13"/>
    </row>
    <row r="350">
      <c r="B350" s="9"/>
      <c r="C350" s="13"/>
      <c r="D350" s="13"/>
    </row>
    <row r="351">
      <c r="B351" s="9"/>
      <c r="C351" s="13"/>
      <c r="D351" s="13"/>
    </row>
    <row r="352">
      <c r="B352" s="9"/>
      <c r="C352" s="13"/>
      <c r="D352" s="13"/>
    </row>
    <row r="353">
      <c r="B353" s="9"/>
      <c r="C353" s="13"/>
      <c r="D353" s="13"/>
    </row>
    <row r="354">
      <c r="B354" s="9"/>
      <c r="C354" s="13"/>
      <c r="D354" s="13"/>
    </row>
    <row r="355">
      <c r="B355" s="9"/>
      <c r="C355" s="13"/>
      <c r="D355" s="13"/>
    </row>
    <row r="356">
      <c r="B356" s="9"/>
      <c r="C356" s="13"/>
      <c r="D356" s="13"/>
    </row>
    <row r="357">
      <c r="B357" s="9"/>
      <c r="C357" s="13"/>
      <c r="D357" s="13"/>
    </row>
    <row r="358">
      <c r="B358" s="9"/>
      <c r="C358" s="13"/>
      <c r="D358" s="13"/>
    </row>
    <row r="359">
      <c r="B359" s="9"/>
      <c r="C359" s="13"/>
      <c r="D359" s="13"/>
    </row>
    <row r="360">
      <c r="B360" s="9"/>
      <c r="C360" s="13"/>
      <c r="D360" s="13"/>
    </row>
    <row r="361">
      <c r="B361" s="9"/>
      <c r="C361" s="13"/>
      <c r="D361" s="13"/>
    </row>
    <row r="362">
      <c r="B362" s="9"/>
      <c r="C362" s="13"/>
      <c r="D362" s="13"/>
    </row>
    <row r="363">
      <c r="B363" s="9"/>
      <c r="C363" s="13"/>
      <c r="D363" s="13"/>
    </row>
    <row r="364">
      <c r="B364" s="9"/>
      <c r="C364" s="13"/>
      <c r="D364" s="13"/>
    </row>
    <row r="365">
      <c r="B365" s="9"/>
      <c r="C365" s="13"/>
      <c r="D365" s="13"/>
    </row>
    <row r="366">
      <c r="B366" s="9"/>
      <c r="C366" s="13"/>
      <c r="D366" s="13"/>
    </row>
    <row r="367">
      <c r="B367" s="9"/>
      <c r="C367" s="13"/>
      <c r="D367" s="13"/>
    </row>
    <row r="368">
      <c r="B368" s="9"/>
      <c r="C368" s="13"/>
      <c r="D368" s="13"/>
    </row>
    <row r="369">
      <c r="B369" s="9"/>
      <c r="C369" s="13"/>
      <c r="D369" s="13"/>
    </row>
    <row r="370">
      <c r="B370" s="9"/>
      <c r="C370" s="13"/>
      <c r="D370" s="13"/>
    </row>
    <row r="371">
      <c r="B371" s="9"/>
      <c r="C371" s="13"/>
      <c r="D371" s="13"/>
    </row>
    <row r="372">
      <c r="B372" s="9"/>
      <c r="C372" s="13"/>
      <c r="D372" s="13"/>
    </row>
    <row r="373">
      <c r="B373" s="9"/>
      <c r="C373" s="13"/>
      <c r="D373" s="13"/>
    </row>
    <row r="374">
      <c r="B374" s="9"/>
      <c r="C374" s="13"/>
      <c r="D374" s="13"/>
    </row>
    <row r="375">
      <c r="B375" s="9"/>
      <c r="C375" s="13"/>
      <c r="D375" s="13"/>
    </row>
    <row r="376">
      <c r="B376" s="9"/>
      <c r="C376" s="13"/>
      <c r="D376" s="13"/>
    </row>
    <row r="377">
      <c r="B377" s="9"/>
      <c r="C377" s="13"/>
      <c r="D377" s="13"/>
    </row>
    <row r="378">
      <c r="B378" s="9"/>
      <c r="C378" s="13"/>
      <c r="D378" s="13"/>
    </row>
    <row r="379">
      <c r="B379" s="9"/>
      <c r="C379" s="13"/>
      <c r="D379" s="13"/>
    </row>
    <row r="380">
      <c r="B380" s="9"/>
      <c r="C380" s="13"/>
      <c r="D380" s="13"/>
    </row>
    <row r="381">
      <c r="B381" s="9"/>
      <c r="C381" s="13"/>
      <c r="D381" s="13"/>
    </row>
    <row r="382">
      <c r="B382" s="9"/>
      <c r="C382" s="13"/>
      <c r="D382" s="13"/>
    </row>
    <row r="383">
      <c r="B383" s="9"/>
      <c r="C383" s="13"/>
      <c r="D383" s="13"/>
    </row>
    <row r="384">
      <c r="B384" s="9"/>
      <c r="C384" s="13"/>
      <c r="D384" s="13"/>
    </row>
    <row r="385">
      <c r="B385" s="9"/>
      <c r="C385" s="13"/>
      <c r="D385" s="13"/>
    </row>
    <row r="386">
      <c r="B386" s="9"/>
      <c r="C386" s="13"/>
      <c r="D386" s="13"/>
    </row>
    <row r="387">
      <c r="B387" s="9"/>
      <c r="C387" s="13"/>
      <c r="D387" s="13"/>
    </row>
    <row r="388">
      <c r="B388" s="9"/>
      <c r="C388" s="13"/>
      <c r="D388" s="13"/>
    </row>
    <row r="389">
      <c r="B389" s="9"/>
      <c r="C389" s="13"/>
      <c r="D389" s="13"/>
    </row>
    <row r="390">
      <c r="B390" s="9"/>
      <c r="C390" s="13"/>
      <c r="D390" s="13"/>
    </row>
    <row r="391">
      <c r="B391" s="9"/>
      <c r="C391" s="13"/>
      <c r="D391" s="13"/>
    </row>
    <row r="392">
      <c r="B392" s="9"/>
      <c r="C392" s="13"/>
      <c r="D392" s="13"/>
    </row>
    <row r="393">
      <c r="B393" s="9"/>
      <c r="C393" s="13"/>
      <c r="D393" s="13"/>
    </row>
    <row r="394">
      <c r="B394" s="9"/>
      <c r="C394" s="13"/>
      <c r="D394" s="13"/>
    </row>
    <row r="395">
      <c r="B395" s="9"/>
      <c r="C395" s="13"/>
      <c r="D395" s="13"/>
    </row>
    <row r="396">
      <c r="B396" s="9"/>
      <c r="C396" s="13"/>
      <c r="D396" s="13"/>
    </row>
    <row r="397">
      <c r="B397" s="9"/>
      <c r="C397" s="13"/>
      <c r="D397" s="13"/>
    </row>
    <row r="398">
      <c r="B398" s="9"/>
      <c r="C398" s="13"/>
      <c r="D398" s="13"/>
    </row>
    <row r="399">
      <c r="B399" s="9"/>
      <c r="C399" s="13"/>
      <c r="D399" s="13"/>
    </row>
    <row r="400">
      <c r="B400" s="9"/>
      <c r="C400" s="13"/>
      <c r="D400" s="13"/>
    </row>
    <row r="401">
      <c r="B401" s="9"/>
      <c r="C401" s="13"/>
      <c r="D401" s="13"/>
    </row>
    <row r="402">
      <c r="B402" s="9"/>
      <c r="C402" s="13"/>
      <c r="D402" s="13"/>
    </row>
    <row r="403">
      <c r="B403" s="9"/>
      <c r="C403" s="13"/>
      <c r="D403" s="13"/>
    </row>
    <row r="404">
      <c r="B404" s="9"/>
      <c r="C404" s="13"/>
      <c r="D404" s="13"/>
    </row>
    <row r="405">
      <c r="B405" s="9"/>
      <c r="C405" s="13"/>
      <c r="D405" s="13"/>
    </row>
    <row r="406">
      <c r="B406" s="9"/>
      <c r="C406" s="13"/>
      <c r="D406" s="13"/>
    </row>
    <row r="407">
      <c r="B407" s="9"/>
      <c r="C407" s="13"/>
      <c r="D407" s="13"/>
    </row>
    <row r="408">
      <c r="B408" s="9"/>
      <c r="C408" s="13"/>
      <c r="D408" s="13"/>
    </row>
    <row r="409">
      <c r="B409" s="9"/>
      <c r="C409" s="13"/>
      <c r="D409" s="13"/>
    </row>
    <row r="410">
      <c r="B410" s="9"/>
      <c r="C410" s="13"/>
      <c r="D410" s="13"/>
    </row>
    <row r="411">
      <c r="B411" s="9"/>
      <c r="C411" s="13"/>
      <c r="D411" s="13"/>
    </row>
    <row r="412">
      <c r="B412" s="9"/>
      <c r="C412" s="13"/>
      <c r="D412" s="13"/>
    </row>
    <row r="413">
      <c r="B413" s="9"/>
      <c r="C413" s="13"/>
      <c r="D413" s="13"/>
    </row>
    <row r="414">
      <c r="B414" s="9"/>
      <c r="C414" s="13"/>
      <c r="D414" s="13"/>
    </row>
    <row r="415">
      <c r="B415" s="9"/>
      <c r="C415" s="13"/>
      <c r="D415" s="13"/>
    </row>
    <row r="416">
      <c r="B416" s="9"/>
      <c r="C416" s="13"/>
      <c r="D416" s="13"/>
    </row>
    <row r="417">
      <c r="B417" s="9"/>
      <c r="C417" s="13"/>
      <c r="D417" s="13"/>
    </row>
    <row r="418">
      <c r="B418" s="9"/>
      <c r="C418" s="13"/>
      <c r="D418" s="13"/>
    </row>
    <row r="419">
      <c r="B419" s="9"/>
      <c r="C419" s="13"/>
      <c r="D419" s="13"/>
    </row>
    <row r="420">
      <c r="B420" s="9"/>
      <c r="C420" s="13"/>
      <c r="D420" s="13"/>
    </row>
    <row r="421">
      <c r="B421" s="9"/>
      <c r="C421" s="13"/>
      <c r="D421" s="13"/>
    </row>
    <row r="422">
      <c r="B422" s="9"/>
      <c r="C422" s="13"/>
      <c r="D422" s="13"/>
    </row>
    <row r="423">
      <c r="B423" s="9"/>
      <c r="C423" s="13"/>
      <c r="D423" s="13"/>
    </row>
    <row r="424">
      <c r="B424" s="9"/>
      <c r="C424" s="13"/>
      <c r="D424" s="13"/>
    </row>
    <row r="425">
      <c r="B425" s="9"/>
      <c r="C425" s="13"/>
      <c r="D425" s="13"/>
    </row>
    <row r="426">
      <c r="B426" s="9"/>
      <c r="C426" s="13"/>
      <c r="D426" s="13"/>
    </row>
    <row r="427">
      <c r="B427" s="9"/>
      <c r="C427" s="13"/>
      <c r="D427" s="13"/>
    </row>
    <row r="428">
      <c r="B428" s="9"/>
      <c r="C428" s="13"/>
      <c r="D428" s="13"/>
    </row>
    <row r="429">
      <c r="B429" s="9"/>
      <c r="C429" s="13"/>
      <c r="D429" s="13"/>
    </row>
    <row r="430">
      <c r="B430" s="9"/>
      <c r="C430" s="13"/>
      <c r="D430" s="13"/>
    </row>
    <row r="431">
      <c r="B431" s="9"/>
      <c r="C431" s="13"/>
      <c r="D431" s="13"/>
    </row>
    <row r="432">
      <c r="B432" s="9"/>
      <c r="C432" s="13"/>
      <c r="D432" s="13"/>
    </row>
    <row r="433">
      <c r="B433" s="9"/>
      <c r="C433" s="13"/>
      <c r="D433" s="13"/>
    </row>
    <row r="434">
      <c r="B434" s="9"/>
      <c r="C434" s="13"/>
      <c r="D434" s="13"/>
    </row>
    <row r="435">
      <c r="B435" s="9"/>
      <c r="C435" s="13"/>
      <c r="D435" s="13"/>
    </row>
    <row r="436">
      <c r="B436" s="9"/>
      <c r="C436" s="13"/>
      <c r="D436" s="13"/>
    </row>
    <row r="437">
      <c r="B437" s="9"/>
      <c r="C437" s="13"/>
      <c r="D437" s="13"/>
    </row>
    <row r="438">
      <c r="B438" s="9"/>
      <c r="C438" s="13"/>
      <c r="D438" s="13"/>
    </row>
    <row r="439">
      <c r="B439" s="9"/>
      <c r="C439" s="13"/>
      <c r="D439" s="13"/>
    </row>
    <row r="440">
      <c r="B440" s="9"/>
      <c r="C440" s="13"/>
      <c r="D440" s="13"/>
    </row>
    <row r="441">
      <c r="B441" s="9"/>
      <c r="C441" s="13"/>
      <c r="D441" s="13"/>
    </row>
    <row r="442">
      <c r="B442" s="9"/>
      <c r="C442" s="13"/>
      <c r="D442" s="13"/>
    </row>
    <row r="443">
      <c r="B443" s="9"/>
      <c r="C443" s="13"/>
      <c r="D443" s="13"/>
    </row>
    <row r="444">
      <c r="B444" s="9"/>
      <c r="C444" s="13"/>
      <c r="D444" s="13"/>
    </row>
    <row r="445">
      <c r="B445" s="9"/>
      <c r="C445" s="13"/>
      <c r="D445" s="13"/>
    </row>
    <row r="446">
      <c r="B446" s="9"/>
      <c r="C446" s="13"/>
      <c r="D446" s="13"/>
    </row>
    <row r="447">
      <c r="B447" s="9"/>
      <c r="C447" s="13"/>
      <c r="D447" s="13"/>
    </row>
    <row r="448">
      <c r="B448" s="9"/>
      <c r="C448" s="13"/>
      <c r="D448" s="13"/>
    </row>
    <row r="449">
      <c r="B449" s="9"/>
      <c r="C449" s="13"/>
      <c r="D449" s="13"/>
    </row>
    <row r="450">
      <c r="B450" s="9"/>
      <c r="C450" s="13"/>
      <c r="D450" s="13"/>
    </row>
    <row r="451">
      <c r="B451" s="9"/>
      <c r="C451" s="13"/>
      <c r="D451" s="13"/>
    </row>
    <row r="452">
      <c r="B452" s="9"/>
      <c r="C452" s="13"/>
      <c r="D452" s="13"/>
    </row>
    <row r="453">
      <c r="B453" s="9"/>
      <c r="C453" s="13"/>
      <c r="D453" s="13"/>
    </row>
    <row r="454">
      <c r="B454" s="9"/>
      <c r="C454" s="13"/>
      <c r="D454" s="13"/>
    </row>
    <row r="455">
      <c r="B455" s="9"/>
      <c r="C455" s="13"/>
      <c r="D455" s="13"/>
    </row>
    <row r="456">
      <c r="B456" s="9"/>
      <c r="C456" s="13"/>
      <c r="D456" s="13"/>
    </row>
    <row r="457">
      <c r="B457" s="9"/>
      <c r="C457" s="13"/>
      <c r="D457" s="13"/>
    </row>
    <row r="458">
      <c r="B458" s="9"/>
      <c r="C458" s="13"/>
      <c r="D458" s="13"/>
    </row>
    <row r="459">
      <c r="B459" s="9"/>
      <c r="C459" s="13"/>
      <c r="D459" s="13"/>
    </row>
    <row r="460">
      <c r="B460" s="9"/>
      <c r="C460" s="13"/>
      <c r="D460" s="13"/>
    </row>
    <row r="461">
      <c r="B461" s="9"/>
      <c r="C461" s="13"/>
      <c r="D461" s="13"/>
    </row>
    <row r="462">
      <c r="B462" s="9"/>
      <c r="C462" s="13"/>
      <c r="D462" s="13"/>
    </row>
    <row r="463">
      <c r="B463" s="9"/>
      <c r="C463" s="13"/>
      <c r="D463" s="13"/>
    </row>
    <row r="464">
      <c r="B464" s="9"/>
      <c r="C464" s="13"/>
      <c r="D464" s="13"/>
    </row>
    <row r="465">
      <c r="B465" s="9"/>
      <c r="C465" s="13"/>
      <c r="D465" s="13"/>
    </row>
    <row r="466">
      <c r="B466" s="9"/>
      <c r="C466" s="13"/>
      <c r="D466" s="13"/>
    </row>
    <row r="467">
      <c r="B467" s="9"/>
      <c r="C467" s="13"/>
      <c r="D467" s="13"/>
    </row>
    <row r="468">
      <c r="B468" s="9"/>
      <c r="C468" s="13"/>
      <c r="D468" s="13"/>
    </row>
    <row r="469">
      <c r="B469" s="9"/>
      <c r="C469" s="13"/>
      <c r="D469" s="13"/>
    </row>
    <row r="470">
      <c r="B470" s="9"/>
      <c r="C470" s="13"/>
      <c r="D470" s="13"/>
    </row>
    <row r="471">
      <c r="B471" s="9"/>
      <c r="C471" s="13"/>
      <c r="D471" s="13"/>
    </row>
    <row r="472">
      <c r="B472" s="9"/>
      <c r="C472" s="13"/>
      <c r="D472" s="13"/>
    </row>
    <row r="473">
      <c r="B473" s="9"/>
      <c r="C473" s="13"/>
      <c r="D473" s="13"/>
    </row>
    <row r="474">
      <c r="B474" s="9"/>
      <c r="C474" s="13"/>
      <c r="D474" s="13"/>
    </row>
    <row r="475">
      <c r="B475" s="9"/>
      <c r="C475" s="13"/>
      <c r="D475" s="13"/>
    </row>
    <row r="476">
      <c r="B476" s="9"/>
      <c r="C476" s="13"/>
      <c r="D476" s="13"/>
    </row>
    <row r="477">
      <c r="B477" s="9"/>
      <c r="C477" s="13"/>
      <c r="D477" s="13"/>
    </row>
    <row r="478">
      <c r="B478" s="9"/>
      <c r="C478" s="13"/>
      <c r="D478" s="13"/>
    </row>
    <row r="479">
      <c r="B479" s="9"/>
      <c r="C479" s="13"/>
      <c r="D479" s="13"/>
    </row>
    <row r="480">
      <c r="B480" s="9"/>
      <c r="C480" s="13"/>
      <c r="D480" s="13"/>
    </row>
    <row r="481">
      <c r="B481" s="9"/>
      <c r="C481" s="13"/>
      <c r="D481" s="13"/>
    </row>
    <row r="482">
      <c r="B482" s="9"/>
      <c r="C482" s="13"/>
      <c r="D482" s="13"/>
    </row>
    <row r="483">
      <c r="B483" s="9"/>
      <c r="C483" s="13"/>
      <c r="D483" s="13"/>
    </row>
    <row r="484">
      <c r="B484" s="9"/>
      <c r="C484" s="13"/>
      <c r="D484" s="13"/>
    </row>
    <row r="485">
      <c r="B485" s="9"/>
      <c r="C485" s="13"/>
      <c r="D485" s="13"/>
    </row>
    <row r="486">
      <c r="B486" s="9"/>
      <c r="C486" s="13"/>
      <c r="D486" s="13"/>
    </row>
    <row r="487">
      <c r="B487" s="9"/>
      <c r="C487" s="13"/>
      <c r="D487" s="13"/>
    </row>
    <row r="488">
      <c r="B488" s="9"/>
      <c r="C488" s="13"/>
      <c r="D488" s="13"/>
    </row>
    <row r="489">
      <c r="B489" s="9"/>
      <c r="C489" s="13"/>
      <c r="D489" s="13"/>
    </row>
    <row r="490">
      <c r="B490" s="9"/>
      <c r="C490" s="13"/>
      <c r="D490" s="13"/>
    </row>
    <row r="491">
      <c r="B491" s="9"/>
      <c r="C491" s="13"/>
      <c r="D491" s="13"/>
    </row>
    <row r="492">
      <c r="B492" s="9"/>
      <c r="C492" s="13"/>
      <c r="D492" s="13"/>
    </row>
    <row r="493">
      <c r="B493" s="9"/>
      <c r="C493" s="13"/>
      <c r="D493" s="13"/>
    </row>
    <row r="494">
      <c r="B494" s="9"/>
      <c r="C494" s="13"/>
      <c r="D494" s="13"/>
    </row>
    <row r="495">
      <c r="B495" s="9"/>
      <c r="C495" s="13"/>
      <c r="D495" s="13"/>
    </row>
    <row r="496">
      <c r="B496" s="9"/>
      <c r="C496" s="13"/>
      <c r="D496" s="13"/>
    </row>
    <row r="497">
      <c r="B497" s="9"/>
      <c r="C497" s="13"/>
      <c r="D497" s="13"/>
    </row>
    <row r="498">
      <c r="B498" s="9"/>
      <c r="C498" s="13"/>
      <c r="D498" s="13"/>
    </row>
    <row r="499">
      <c r="B499" s="9"/>
      <c r="C499" s="13"/>
      <c r="D499" s="13"/>
    </row>
    <row r="500">
      <c r="B500" s="9"/>
      <c r="C500" s="13"/>
      <c r="D500" s="13"/>
    </row>
    <row r="501">
      <c r="B501" s="9"/>
      <c r="C501" s="13"/>
      <c r="D501" s="13"/>
    </row>
    <row r="502">
      <c r="B502" s="9"/>
      <c r="C502" s="13"/>
      <c r="D502" s="13"/>
    </row>
    <row r="503">
      <c r="B503" s="9"/>
      <c r="C503" s="13"/>
      <c r="D503" s="13"/>
    </row>
    <row r="504">
      <c r="B504" s="9"/>
      <c r="C504" s="13"/>
      <c r="D504" s="13"/>
    </row>
    <row r="505">
      <c r="B505" s="9"/>
      <c r="C505" s="13"/>
      <c r="D505" s="13"/>
    </row>
    <row r="506">
      <c r="B506" s="9"/>
      <c r="C506" s="13"/>
      <c r="D506" s="13"/>
    </row>
    <row r="507">
      <c r="B507" s="9"/>
      <c r="C507" s="13"/>
      <c r="D507" s="13"/>
    </row>
    <row r="508">
      <c r="B508" s="9"/>
      <c r="C508" s="13"/>
      <c r="D508" s="13"/>
    </row>
    <row r="509">
      <c r="B509" s="9"/>
      <c r="C509" s="13"/>
      <c r="D509" s="13"/>
    </row>
    <row r="510">
      <c r="B510" s="9"/>
      <c r="C510" s="13"/>
      <c r="D510" s="13"/>
    </row>
    <row r="511">
      <c r="B511" s="9"/>
      <c r="C511" s="13"/>
      <c r="D511" s="13"/>
    </row>
    <row r="512">
      <c r="B512" s="9"/>
      <c r="C512" s="13"/>
      <c r="D512" s="13"/>
    </row>
    <row r="513">
      <c r="B513" s="9"/>
      <c r="C513" s="13"/>
      <c r="D513" s="13"/>
    </row>
    <row r="514">
      <c r="B514" s="9"/>
      <c r="C514" s="13"/>
      <c r="D514" s="13"/>
    </row>
    <row r="515">
      <c r="B515" s="9"/>
      <c r="C515" s="13"/>
      <c r="D515" s="13"/>
    </row>
    <row r="516">
      <c r="B516" s="9"/>
      <c r="C516" s="13"/>
      <c r="D516" s="13"/>
    </row>
    <row r="517">
      <c r="B517" s="9"/>
      <c r="C517" s="13"/>
      <c r="D517" s="13"/>
    </row>
    <row r="518">
      <c r="B518" s="9"/>
      <c r="C518" s="13"/>
      <c r="D518" s="13"/>
    </row>
    <row r="519">
      <c r="B519" s="9"/>
      <c r="C519" s="13"/>
      <c r="D519" s="13"/>
    </row>
    <row r="520">
      <c r="B520" s="9"/>
      <c r="C520" s="13"/>
      <c r="D520" s="13"/>
    </row>
    <row r="521">
      <c r="B521" s="9"/>
      <c r="C521" s="13"/>
      <c r="D521" s="13"/>
    </row>
    <row r="522">
      <c r="B522" s="9"/>
      <c r="C522" s="13"/>
      <c r="D522" s="13"/>
    </row>
    <row r="523">
      <c r="B523" s="9"/>
      <c r="C523" s="13"/>
      <c r="D523" s="13"/>
    </row>
    <row r="524">
      <c r="B524" s="9"/>
      <c r="C524" s="13"/>
      <c r="D524" s="13"/>
    </row>
    <row r="525">
      <c r="B525" s="9"/>
      <c r="C525" s="13"/>
      <c r="D525" s="13"/>
    </row>
    <row r="526">
      <c r="B526" s="9"/>
      <c r="C526" s="13"/>
      <c r="D526" s="13"/>
    </row>
    <row r="527">
      <c r="B527" s="9"/>
      <c r="C527" s="13"/>
      <c r="D527" s="13"/>
    </row>
    <row r="528">
      <c r="B528" s="9"/>
      <c r="C528" s="13"/>
      <c r="D528" s="13"/>
    </row>
    <row r="529">
      <c r="B529" s="9"/>
      <c r="C529" s="13"/>
      <c r="D529" s="13"/>
    </row>
    <row r="530">
      <c r="B530" s="9"/>
      <c r="C530" s="13"/>
      <c r="D530" s="13"/>
    </row>
    <row r="531">
      <c r="B531" s="9"/>
      <c r="C531" s="13"/>
      <c r="D531" s="13"/>
    </row>
    <row r="532">
      <c r="B532" s="9"/>
      <c r="C532" s="13"/>
      <c r="D532" s="13"/>
    </row>
    <row r="533">
      <c r="B533" s="9"/>
      <c r="C533" s="13"/>
      <c r="D533" s="13"/>
    </row>
    <row r="534">
      <c r="B534" s="9"/>
      <c r="C534" s="13"/>
      <c r="D534" s="13"/>
    </row>
    <row r="535">
      <c r="B535" s="9"/>
      <c r="C535" s="13"/>
      <c r="D535" s="13"/>
    </row>
    <row r="536">
      <c r="B536" s="9"/>
      <c r="C536" s="13"/>
      <c r="D536" s="13"/>
    </row>
    <row r="537">
      <c r="B537" s="9"/>
      <c r="C537" s="13"/>
      <c r="D537" s="13"/>
    </row>
    <row r="538">
      <c r="B538" s="9"/>
      <c r="C538" s="13"/>
      <c r="D538" s="13"/>
    </row>
    <row r="539">
      <c r="B539" s="9"/>
      <c r="C539" s="13"/>
      <c r="D539" s="13"/>
    </row>
    <row r="540">
      <c r="B540" s="9"/>
      <c r="C540" s="13"/>
      <c r="D540" s="13"/>
    </row>
    <row r="541">
      <c r="B541" s="9"/>
      <c r="C541" s="13"/>
      <c r="D541" s="13"/>
    </row>
    <row r="542">
      <c r="B542" s="9"/>
      <c r="C542" s="13"/>
      <c r="D542" s="13"/>
    </row>
    <row r="543">
      <c r="B543" s="9"/>
      <c r="C543" s="13"/>
      <c r="D543" s="13"/>
    </row>
    <row r="544">
      <c r="B544" s="9"/>
      <c r="C544" s="13"/>
      <c r="D544" s="13"/>
    </row>
    <row r="545">
      <c r="B545" s="9"/>
      <c r="C545" s="13"/>
      <c r="D545" s="13"/>
    </row>
    <row r="546">
      <c r="B546" s="9"/>
      <c r="C546" s="13"/>
      <c r="D546" s="13"/>
    </row>
    <row r="547">
      <c r="B547" s="9"/>
      <c r="C547" s="13"/>
      <c r="D547" s="13"/>
    </row>
    <row r="548">
      <c r="B548" s="9"/>
      <c r="C548" s="13"/>
      <c r="D548" s="13"/>
    </row>
    <row r="549">
      <c r="B549" s="9"/>
      <c r="C549" s="13"/>
      <c r="D549" s="13"/>
    </row>
    <row r="550">
      <c r="B550" s="9"/>
      <c r="C550" s="13"/>
      <c r="D550" s="13"/>
    </row>
    <row r="551">
      <c r="B551" s="9"/>
      <c r="C551" s="13"/>
      <c r="D551" s="13"/>
    </row>
    <row r="552">
      <c r="B552" s="9"/>
      <c r="C552" s="13"/>
      <c r="D552" s="13"/>
    </row>
    <row r="553">
      <c r="B553" s="9"/>
      <c r="C553" s="13"/>
      <c r="D553" s="13"/>
    </row>
    <row r="554">
      <c r="B554" s="9"/>
      <c r="C554" s="13"/>
      <c r="D554" s="13"/>
    </row>
    <row r="555">
      <c r="B555" s="9"/>
      <c r="C555" s="13"/>
      <c r="D555" s="13"/>
    </row>
    <row r="556">
      <c r="B556" s="9"/>
      <c r="C556" s="13"/>
      <c r="D556" s="13"/>
    </row>
    <row r="557">
      <c r="B557" s="9"/>
      <c r="C557" s="13"/>
      <c r="D557" s="13"/>
    </row>
    <row r="558">
      <c r="B558" s="9"/>
      <c r="C558" s="13"/>
      <c r="D558" s="13"/>
    </row>
    <row r="559">
      <c r="B559" s="9"/>
      <c r="C559" s="13"/>
      <c r="D559" s="13"/>
    </row>
    <row r="560">
      <c r="B560" s="9"/>
      <c r="C560" s="13"/>
      <c r="D560" s="13"/>
    </row>
    <row r="561">
      <c r="B561" s="9"/>
      <c r="C561" s="13"/>
      <c r="D561" s="13"/>
    </row>
    <row r="562">
      <c r="B562" s="9"/>
      <c r="C562" s="13"/>
      <c r="D562" s="13"/>
    </row>
    <row r="563">
      <c r="B563" s="9"/>
      <c r="C563" s="13"/>
      <c r="D563" s="13"/>
    </row>
    <row r="564">
      <c r="B564" s="9"/>
      <c r="C564" s="13"/>
      <c r="D564" s="13"/>
    </row>
    <row r="565">
      <c r="B565" s="9"/>
      <c r="C565" s="13"/>
      <c r="D565" s="13"/>
    </row>
    <row r="566">
      <c r="B566" s="9"/>
      <c r="C566" s="13"/>
      <c r="D566" s="13"/>
    </row>
    <row r="567">
      <c r="B567" s="9"/>
      <c r="C567" s="13"/>
      <c r="D567" s="13"/>
    </row>
    <row r="568">
      <c r="B568" s="9"/>
      <c r="C568" s="13"/>
      <c r="D568" s="13"/>
    </row>
    <row r="569">
      <c r="B569" s="9"/>
      <c r="C569" s="13"/>
      <c r="D569" s="13"/>
    </row>
    <row r="570">
      <c r="B570" s="9"/>
      <c r="C570" s="13"/>
      <c r="D570" s="13"/>
    </row>
    <row r="571">
      <c r="B571" s="9"/>
      <c r="C571" s="13"/>
      <c r="D571" s="13"/>
    </row>
    <row r="572">
      <c r="B572" s="9"/>
      <c r="C572" s="13"/>
      <c r="D572" s="13"/>
    </row>
    <row r="573">
      <c r="B573" s="9"/>
      <c r="C573" s="13"/>
      <c r="D573" s="13"/>
    </row>
    <row r="574">
      <c r="B574" s="9"/>
      <c r="C574" s="13"/>
      <c r="D574" s="13"/>
    </row>
    <row r="575">
      <c r="B575" s="9"/>
      <c r="C575" s="13"/>
      <c r="D575" s="13"/>
    </row>
    <row r="576">
      <c r="B576" s="9"/>
      <c r="C576" s="13"/>
      <c r="D576" s="13"/>
    </row>
    <row r="577">
      <c r="B577" s="9"/>
      <c r="C577" s="13"/>
      <c r="D577" s="13"/>
    </row>
    <row r="578">
      <c r="B578" s="9"/>
      <c r="C578" s="13"/>
      <c r="D578" s="13"/>
    </row>
    <row r="579">
      <c r="B579" s="9"/>
      <c r="C579" s="13"/>
      <c r="D579" s="13"/>
    </row>
    <row r="580">
      <c r="B580" s="9"/>
      <c r="C580" s="13"/>
      <c r="D580" s="13"/>
    </row>
    <row r="581">
      <c r="B581" s="9"/>
      <c r="C581" s="13"/>
      <c r="D581" s="13"/>
    </row>
    <row r="582">
      <c r="B582" s="9"/>
      <c r="C582" s="13"/>
      <c r="D582" s="13"/>
    </row>
    <row r="583">
      <c r="B583" s="9"/>
      <c r="C583" s="13"/>
      <c r="D583" s="13"/>
    </row>
    <row r="584">
      <c r="B584" s="9"/>
      <c r="C584" s="13"/>
      <c r="D584" s="13"/>
    </row>
    <row r="585">
      <c r="B585" s="9"/>
      <c r="C585" s="13"/>
      <c r="D585" s="13"/>
    </row>
    <row r="586">
      <c r="B586" s="9"/>
      <c r="C586" s="13"/>
      <c r="D586" s="13"/>
    </row>
    <row r="587">
      <c r="B587" s="9"/>
      <c r="C587" s="13"/>
      <c r="D587" s="13"/>
    </row>
    <row r="588">
      <c r="B588" s="9"/>
      <c r="C588" s="13"/>
      <c r="D588" s="13"/>
    </row>
    <row r="589">
      <c r="B589" s="9"/>
      <c r="C589" s="13"/>
      <c r="D589" s="13"/>
    </row>
    <row r="590">
      <c r="B590" s="9"/>
      <c r="C590" s="13"/>
      <c r="D590" s="13"/>
    </row>
    <row r="591">
      <c r="B591" s="9"/>
      <c r="C591" s="13"/>
      <c r="D591" s="13"/>
    </row>
    <row r="592">
      <c r="B592" s="9"/>
      <c r="C592" s="13"/>
      <c r="D592" s="13"/>
    </row>
    <row r="593">
      <c r="B593" s="9"/>
      <c r="C593" s="13"/>
      <c r="D593" s="13"/>
    </row>
    <row r="594">
      <c r="B594" s="9"/>
      <c r="C594" s="13"/>
      <c r="D594" s="13"/>
    </row>
    <row r="595">
      <c r="B595" s="9"/>
      <c r="C595" s="13"/>
      <c r="D595" s="13"/>
    </row>
    <row r="596">
      <c r="B596" s="9"/>
      <c r="C596" s="13"/>
      <c r="D596" s="13"/>
    </row>
    <row r="597">
      <c r="B597" s="9"/>
      <c r="C597" s="13"/>
      <c r="D597" s="13"/>
    </row>
    <row r="598">
      <c r="B598" s="9"/>
      <c r="C598" s="13"/>
      <c r="D598" s="13"/>
    </row>
    <row r="599">
      <c r="B599" s="9"/>
      <c r="C599" s="13"/>
      <c r="D599" s="13"/>
    </row>
    <row r="600">
      <c r="B600" s="9"/>
      <c r="C600" s="13"/>
      <c r="D600" s="13"/>
    </row>
    <row r="601">
      <c r="B601" s="9"/>
      <c r="C601" s="13"/>
      <c r="D601" s="13"/>
    </row>
    <row r="602">
      <c r="B602" s="9"/>
      <c r="C602" s="13"/>
      <c r="D602" s="13"/>
    </row>
    <row r="603">
      <c r="B603" s="9"/>
      <c r="C603" s="13"/>
      <c r="D603" s="13"/>
    </row>
    <row r="604">
      <c r="B604" s="9"/>
      <c r="C604" s="13"/>
      <c r="D604" s="13"/>
    </row>
    <row r="605">
      <c r="B605" s="9"/>
      <c r="C605" s="13"/>
      <c r="D605" s="13"/>
    </row>
    <row r="606">
      <c r="B606" s="9"/>
      <c r="C606" s="13"/>
      <c r="D606" s="13"/>
    </row>
    <row r="607">
      <c r="B607" s="9"/>
      <c r="C607" s="13"/>
      <c r="D607" s="13"/>
    </row>
    <row r="608">
      <c r="B608" s="9"/>
      <c r="C608" s="13"/>
      <c r="D608" s="13"/>
    </row>
    <row r="609">
      <c r="B609" s="9"/>
      <c r="C609" s="13"/>
      <c r="D609" s="13"/>
    </row>
    <row r="610">
      <c r="B610" s="9"/>
      <c r="C610" s="13"/>
      <c r="D610" s="13"/>
    </row>
    <row r="611">
      <c r="B611" s="9"/>
      <c r="C611" s="13"/>
      <c r="D611" s="13"/>
    </row>
    <row r="612">
      <c r="B612" s="9"/>
      <c r="C612" s="13"/>
      <c r="D612" s="13"/>
    </row>
    <row r="613">
      <c r="B613" s="9"/>
      <c r="C613" s="13"/>
      <c r="D613" s="13"/>
    </row>
    <row r="614">
      <c r="B614" s="9"/>
      <c r="C614" s="13"/>
      <c r="D614" s="13"/>
    </row>
    <row r="615">
      <c r="B615" s="9"/>
      <c r="C615" s="13"/>
      <c r="D615" s="13"/>
    </row>
    <row r="616">
      <c r="B616" s="9"/>
      <c r="C616" s="13"/>
      <c r="D616" s="13"/>
    </row>
    <row r="617">
      <c r="B617" s="9"/>
      <c r="C617" s="13"/>
      <c r="D617" s="13"/>
    </row>
    <row r="618">
      <c r="B618" s="9"/>
      <c r="C618" s="13"/>
      <c r="D618" s="13"/>
    </row>
    <row r="619">
      <c r="B619" s="9"/>
      <c r="C619" s="13"/>
      <c r="D619" s="13"/>
    </row>
    <row r="620">
      <c r="B620" s="9"/>
      <c r="C620" s="13"/>
      <c r="D620" s="13"/>
    </row>
    <row r="621">
      <c r="B621" s="9"/>
      <c r="C621" s="13"/>
      <c r="D621" s="13"/>
    </row>
    <row r="622">
      <c r="B622" s="9"/>
      <c r="C622" s="13"/>
      <c r="D622" s="13"/>
    </row>
    <row r="623">
      <c r="B623" s="9"/>
      <c r="C623" s="13"/>
      <c r="D623" s="13"/>
    </row>
    <row r="624">
      <c r="B624" s="9"/>
      <c r="C624" s="13"/>
      <c r="D624" s="13"/>
    </row>
    <row r="625">
      <c r="B625" s="9"/>
      <c r="C625" s="13"/>
      <c r="D625" s="13"/>
    </row>
    <row r="626">
      <c r="B626" s="9"/>
      <c r="C626" s="13"/>
      <c r="D626" s="13"/>
    </row>
    <row r="627">
      <c r="B627" s="9"/>
      <c r="C627" s="13"/>
      <c r="D627" s="13"/>
    </row>
    <row r="628">
      <c r="B628" s="9"/>
      <c r="C628" s="13"/>
      <c r="D628" s="13"/>
    </row>
    <row r="629">
      <c r="B629" s="9"/>
      <c r="C629" s="13"/>
      <c r="D629" s="13"/>
    </row>
    <row r="630">
      <c r="B630" s="9"/>
      <c r="C630" s="13"/>
      <c r="D630" s="13"/>
    </row>
    <row r="631">
      <c r="B631" s="9"/>
      <c r="C631" s="13"/>
      <c r="D631" s="13"/>
    </row>
    <row r="632">
      <c r="B632" s="9"/>
      <c r="C632" s="13"/>
      <c r="D632" s="13"/>
    </row>
    <row r="633">
      <c r="B633" s="9"/>
      <c r="C633" s="13"/>
      <c r="D633" s="13"/>
    </row>
    <row r="634">
      <c r="B634" s="9"/>
      <c r="C634" s="13"/>
      <c r="D634" s="13"/>
    </row>
    <row r="635">
      <c r="B635" s="9"/>
      <c r="C635" s="13"/>
      <c r="D635" s="13"/>
    </row>
    <row r="636">
      <c r="B636" s="9"/>
      <c r="C636" s="13"/>
      <c r="D636" s="13"/>
    </row>
    <row r="637">
      <c r="B637" s="9"/>
      <c r="C637" s="13"/>
      <c r="D637" s="13"/>
    </row>
    <row r="638">
      <c r="B638" s="9"/>
      <c r="C638" s="13"/>
      <c r="D638" s="13"/>
    </row>
    <row r="639">
      <c r="B639" s="9"/>
      <c r="C639" s="13"/>
      <c r="D639" s="13"/>
    </row>
    <row r="640">
      <c r="B640" s="9"/>
      <c r="C640" s="13"/>
      <c r="D640" s="13"/>
    </row>
    <row r="641">
      <c r="B641" s="9"/>
      <c r="C641" s="13"/>
      <c r="D641" s="13"/>
    </row>
    <row r="642">
      <c r="B642" s="9"/>
      <c r="C642" s="13"/>
      <c r="D642" s="13"/>
    </row>
    <row r="643">
      <c r="B643" s="9"/>
      <c r="C643" s="13"/>
      <c r="D643" s="13"/>
    </row>
    <row r="644">
      <c r="B644" s="9"/>
      <c r="C644" s="13"/>
      <c r="D644" s="13"/>
    </row>
    <row r="645">
      <c r="B645" s="9"/>
      <c r="C645" s="13"/>
      <c r="D645" s="13"/>
    </row>
    <row r="646">
      <c r="B646" s="9"/>
      <c r="C646" s="13"/>
      <c r="D646" s="13"/>
    </row>
    <row r="647">
      <c r="B647" s="9"/>
      <c r="C647" s="13"/>
      <c r="D647" s="13"/>
    </row>
    <row r="648">
      <c r="B648" s="9"/>
      <c r="C648" s="13"/>
      <c r="D648" s="13"/>
    </row>
    <row r="649">
      <c r="B649" s="9"/>
      <c r="C649" s="13"/>
      <c r="D649" s="13"/>
    </row>
    <row r="650">
      <c r="B650" s="9"/>
      <c r="C650" s="13"/>
      <c r="D650" s="13"/>
    </row>
    <row r="651">
      <c r="B651" s="9"/>
      <c r="C651" s="13"/>
      <c r="D651" s="13"/>
    </row>
    <row r="652">
      <c r="B652" s="9"/>
      <c r="C652" s="13"/>
      <c r="D652" s="13"/>
    </row>
    <row r="653">
      <c r="B653" s="9"/>
      <c r="C653" s="13"/>
      <c r="D653" s="13"/>
    </row>
    <row r="654">
      <c r="B654" s="9"/>
      <c r="C654" s="13"/>
      <c r="D654" s="13"/>
    </row>
    <row r="655">
      <c r="B655" s="9"/>
      <c r="C655" s="13"/>
      <c r="D655" s="13"/>
    </row>
    <row r="656">
      <c r="B656" s="9"/>
      <c r="C656" s="13"/>
      <c r="D656" s="13"/>
    </row>
    <row r="657">
      <c r="B657" s="9"/>
      <c r="C657" s="13"/>
      <c r="D657" s="13"/>
    </row>
    <row r="658">
      <c r="B658" s="9"/>
      <c r="C658" s="13"/>
      <c r="D658" s="13"/>
    </row>
    <row r="659">
      <c r="B659" s="9"/>
      <c r="C659" s="13"/>
      <c r="D659" s="13"/>
    </row>
    <row r="660">
      <c r="B660" s="9"/>
      <c r="C660" s="13"/>
      <c r="D660" s="13"/>
    </row>
    <row r="661">
      <c r="B661" s="9"/>
      <c r="C661" s="13"/>
      <c r="D661" s="13"/>
    </row>
    <row r="662">
      <c r="B662" s="9"/>
      <c r="C662" s="13"/>
      <c r="D662" s="13"/>
    </row>
    <row r="663">
      <c r="B663" s="9"/>
      <c r="C663" s="13"/>
      <c r="D663" s="13"/>
    </row>
    <row r="664">
      <c r="B664" s="9"/>
      <c r="C664" s="13"/>
      <c r="D664" s="13"/>
    </row>
    <row r="665">
      <c r="B665" s="9"/>
      <c r="C665" s="13"/>
      <c r="D665" s="13"/>
    </row>
    <row r="666">
      <c r="B666" s="9"/>
      <c r="C666" s="13"/>
      <c r="D666" s="13"/>
    </row>
    <row r="667">
      <c r="B667" s="9"/>
      <c r="C667" s="13"/>
      <c r="D667" s="13"/>
    </row>
    <row r="668">
      <c r="B668" s="9"/>
      <c r="C668" s="13"/>
      <c r="D668" s="13"/>
    </row>
    <row r="669">
      <c r="B669" s="9"/>
      <c r="C669" s="13"/>
      <c r="D669" s="13"/>
    </row>
    <row r="670">
      <c r="B670" s="9"/>
      <c r="C670" s="13"/>
      <c r="D670" s="13"/>
    </row>
    <row r="671">
      <c r="B671" s="9"/>
      <c r="C671" s="13"/>
      <c r="D671" s="13"/>
    </row>
    <row r="672">
      <c r="B672" s="9"/>
      <c r="C672" s="13"/>
      <c r="D672" s="13"/>
    </row>
    <row r="673">
      <c r="B673" s="9"/>
      <c r="C673" s="13"/>
      <c r="D673" s="13"/>
    </row>
    <row r="674">
      <c r="B674" s="9"/>
      <c r="C674" s="13"/>
      <c r="D674" s="13"/>
    </row>
    <row r="675">
      <c r="B675" s="9"/>
      <c r="C675" s="13"/>
      <c r="D675" s="13"/>
    </row>
    <row r="676">
      <c r="B676" s="9"/>
      <c r="C676" s="13"/>
      <c r="D676" s="13"/>
    </row>
    <row r="677">
      <c r="B677" s="9"/>
      <c r="C677" s="13"/>
      <c r="D677" s="13"/>
    </row>
    <row r="678">
      <c r="B678" s="9"/>
      <c r="C678" s="13"/>
      <c r="D678" s="13"/>
    </row>
    <row r="679">
      <c r="B679" s="9"/>
      <c r="C679" s="13"/>
      <c r="D679" s="13"/>
    </row>
    <row r="680">
      <c r="B680" s="9"/>
      <c r="C680" s="13"/>
      <c r="D680" s="13"/>
    </row>
    <row r="681">
      <c r="B681" s="9"/>
      <c r="C681" s="13"/>
      <c r="D681" s="13"/>
    </row>
    <row r="682">
      <c r="B682" s="9"/>
      <c r="C682" s="13"/>
      <c r="D682" s="13"/>
    </row>
    <row r="683">
      <c r="B683" s="9"/>
      <c r="C683" s="13"/>
      <c r="D683" s="13"/>
    </row>
    <row r="684">
      <c r="B684" s="9"/>
      <c r="C684" s="13"/>
      <c r="D684" s="13"/>
    </row>
    <row r="685">
      <c r="B685" s="9"/>
      <c r="C685" s="13"/>
      <c r="D685" s="13"/>
    </row>
    <row r="686">
      <c r="B686" s="9"/>
      <c r="C686" s="13"/>
      <c r="D686" s="13"/>
    </row>
    <row r="687">
      <c r="B687" s="9"/>
      <c r="C687" s="13"/>
      <c r="D687" s="13"/>
    </row>
    <row r="688">
      <c r="B688" s="9"/>
      <c r="C688" s="13"/>
      <c r="D688" s="13"/>
    </row>
    <row r="689">
      <c r="B689" s="9"/>
      <c r="C689" s="13"/>
      <c r="D689" s="13"/>
    </row>
    <row r="690">
      <c r="B690" s="9"/>
      <c r="C690" s="13"/>
      <c r="D690" s="13"/>
    </row>
    <row r="691">
      <c r="B691" s="9"/>
      <c r="C691" s="13"/>
      <c r="D691" s="13"/>
    </row>
    <row r="692">
      <c r="B692" s="9"/>
      <c r="C692" s="13"/>
      <c r="D692" s="13"/>
    </row>
    <row r="693">
      <c r="B693" s="9"/>
      <c r="C693" s="13"/>
      <c r="D693" s="13"/>
    </row>
    <row r="694">
      <c r="B694" s="9"/>
      <c r="C694" s="13"/>
      <c r="D694" s="13"/>
    </row>
    <row r="695">
      <c r="B695" s="9"/>
      <c r="C695" s="13"/>
      <c r="D695" s="13"/>
    </row>
    <row r="696">
      <c r="B696" s="9"/>
      <c r="C696" s="13"/>
      <c r="D696" s="13"/>
    </row>
    <row r="697">
      <c r="B697" s="9"/>
      <c r="C697" s="13"/>
      <c r="D697" s="13"/>
    </row>
    <row r="698">
      <c r="B698" s="9"/>
      <c r="C698" s="13"/>
      <c r="D698" s="13"/>
    </row>
    <row r="699">
      <c r="B699" s="9"/>
      <c r="C699" s="13"/>
      <c r="D699" s="13"/>
    </row>
    <row r="700">
      <c r="B700" s="9"/>
      <c r="C700" s="13"/>
      <c r="D700" s="13"/>
    </row>
    <row r="701">
      <c r="B701" s="9"/>
      <c r="C701" s="13"/>
      <c r="D701" s="13"/>
    </row>
    <row r="702">
      <c r="B702" s="9"/>
      <c r="C702" s="13"/>
      <c r="D702" s="13"/>
    </row>
    <row r="703">
      <c r="B703" s="9"/>
      <c r="C703" s="13"/>
      <c r="D703" s="13"/>
    </row>
    <row r="704">
      <c r="B704" s="9"/>
      <c r="C704" s="13"/>
      <c r="D704" s="13"/>
    </row>
    <row r="705">
      <c r="B705" s="9"/>
      <c r="C705" s="13"/>
      <c r="D705" s="13"/>
    </row>
    <row r="706">
      <c r="B706" s="9"/>
      <c r="C706" s="13"/>
      <c r="D706" s="13"/>
    </row>
    <row r="707">
      <c r="B707" s="9"/>
      <c r="C707" s="13"/>
      <c r="D707" s="13"/>
    </row>
    <row r="708">
      <c r="B708" s="9"/>
      <c r="C708" s="13"/>
      <c r="D708" s="13"/>
    </row>
    <row r="709">
      <c r="B709" s="9"/>
      <c r="C709" s="13"/>
      <c r="D709" s="13"/>
    </row>
    <row r="710">
      <c r="B710" s="9"/>
      <c r="C710" s="13"/>
      <c r="D710" s="13"/>
    </row>
    <row r="711">
      <c r="B711" s="9"/>
      <c r="C711" s="13"/>
      <c r="D711" s="13"/>
    </row>
    <row r="712">
      <c r="B712" s="9"/>
      <c r="C712" s="13"/>
      <c r="D712" s="13"/>
    </row>
    <row r="713">
      <c r="B713" s="9"/>
      <c r="C713" s="13"/>
      <c r="D713" s="13"/>
    </row>
    <row r="714">
      <c r="B714" s="9"/>
      <c r="C714" s="13"/>
      <c r="D714" s="13"/>
    </row>
    <row r="715">
      <c r="B715" s="9"/>
      <c r="C715" s="13"/>
      <c r="D715" s="13"/>
    </row>
    <row r="716">
      <c r="B716" s="9"/>
      <c r="C716" s="13"/>
      <c r="D716" s="13"/>
    </row>
    <row r="717">
      <c r="B717" s="9"/>
      <c r="C717" s="13"/>
      <c r="D717" s="13"/>
    </row>
    <row r="718">
      <c r="B718" s="9"/>
      <c r="C718" s="13"/>
      <c r="D718" s="13"/>
    </row>
    <row r="719">
      <c r="B719" s="9"/>
      <c r="C719" s="13"/>
      <c r="D719" s="13"/>
    </row>
    <row r="720">
      <c r="B720" s="9"/>
      <c r="C720" s="13"/>
      <c r="D720" s="13"/>
    </row>
    <row r="721">
      <c r="B721" s="9"/>
      <c r="C721" s="13"/>
      <c r="D721" s="13"/>
    </row>
    <row r="722">
      <c r="B722" s="9"/>
      <c r="C722" s="13"/>
      <c r="D722" s="13"/>
    </row>
    <row r="723">
      <c r="B723" s="9"/>
      <c r="C723" s="13"/>
      <c r="D723" s="13"/>
    </row>
    <row r="724">
      <c r="B724" s="9"/>
      <c r="C724" s="13"/>
      <c r="D724" s="13"/>
    </row>
    <row r="725">
      <c r="B725" s="9"/>
      <c r="C725" s="13"/>
      <c r="D725" s="13"/>
    </row>
    <row r="726">
      <c r="B726" s="9"/>
      <c r="C726" s="13"/>
      <c r="D726" s="13"/>
    </row>
    <row r="727">
      <c r="B727" s="9"/>
      <c r="C727" s="13"/>
      <c r="D727" s="13"/>
    </row>
    <row r="728">
      <c r="B728" s="9"/>
      <c r="C728" s="13"/>
      <c r="D728" s="13"/>
    </row>
    <row r="729">
      <c r="B729" s="9"/>
      <c r="C729" s="13"/>
      <c r="D729" s="13"/>
    </row>
    <row r="730">
      <c r="B730" s="9"/>
      <c r="C730" s="13"/>
      <c r="D730" s="13"/>
    </row>
    <row r="731">
      <c r="B731" s="9"/>
      <c r="C731" s="13"/>
      <c r="D731" s="13"/>
    </row>
    <row r="732">
      <c r="B732" s="9"/>
      <c r="C732" s="13"/>
      <c r="D732" s="13"/>
    </row>
    <row r="733">
      <c r="B733" s="9"/>
      <c r="C733" s="13"/>
      <c r="D733" s="13"/>
    </row>
    <row r="734">
      <c r="B734" s="9"/>
      <c r="C734" s="13"/>
      <c r="D734" s="13"/>
    </row>
    <row r="735">
      <c r="B735" s="9"/>
      <c r="C735" s="13"/>
      <c r="D735" s="13"/>
    </row>
    <row r="736">
      <c r="B736" s="9"/>
      <c r="C736" s="13"/>
      <c r="D736" s="13"/>
    </row>
    <row r="737">
      <c r="B737" s="9"/>
      <c r="C737" s="13"/>
      <c r="D737" s="13"/>
    </row>
    <row r="738">
      <c r="B738" s="9"/>
      <c r="C738" s="13"/>
      <c r="D738" s="13"/>
    </row>
    <row r="739">
      <c r="B739" s="9"/>
      <c r="C739" s="13"/>
      <c r="D739" s="13"/>
    </row>
    <row r="740">
      <c r="B740" s="9"/>
      <c r="C740" s="13"/>
      <c r="D740" s="13"/>
    </row>
    <row r="741">
      <c r="B741" s="9"/>
      <c r="C741" s="13"/>
      <c r="D741" s="13"/>
    </row>
    <row r="742">
      <c r="B742" s="9"/>
      <c r="C742" s="13"/>
      <c r="D742" s="13"/>
    </row>
    <row r="743">
      <c r="B743" s="9"/>
      <c r="C743" s="13"/>
      <c r="D743" s="13"/>
    </row>
    <row r="744">
      <c r="B744" s="9"/>
      <c r="C744" s="13"/>
      <c r="D744" s="13"/>
    </row>
    <row r="745">
      <c r="B745" s="9"/>
      <c r="C745" s="13"/>
      <c r="D745" s="13"/>
    </row>
    <row r="746">
      <c r="B746" s="9"/>
      <c r="C746" s="13"/>
      <c r="D746" s="13"/>
    </row>
    <row r="747">
      <c r="B747" s="9"/>
      <c r="C747" s="13"/>
      <c r="D747" s="13"/>
    </row>
    <row r="748">
      <c r="B748" s="9"/>
      <c r="C748" s="13"/>
      <c r="D748" s="13"/>
    </row>
    <row r="749">
      <c r="B749" s="9"/>
      <c r="C749" s="13"/>
      <c r="D749" s="13"/>
    </row>
    <row r="750">
      <c r="B750" s="9"/>
      <c r="C750" s="13"/>
      <c r="D750" s="13"/>
    </row>
    <row r="751">
      <c r="B751" s="9"/>
      <c r="C751" s="13"/>
      <c r="D751" s="13"/>
    </row>
    <row r="752">
      <c r="B752" s="9"/>
      <c r="C752" s="13"/>
      <c r="D752" s="13"/>
    </row>
    <row r="753">
      <c r="B753" s="9"/>
      <c r="C753" s="13"/>
      <c r="D753" s="13"/>
    </row>
    <row r="754">
      <c r="B754" s="9"/>
      <c r="C754" s="13"/>
      <c r="D754" s="13"/>
    </row>
    <row r="755">
      <c r="B755" s="9"/>
      <c r="C755" s="13"/>
      <c r="D755" s="13"/>
    </row>
    <row r="756">
      <c r="B756" s="9"/>
      <c r="C756" s="13"/>
      <c r="D756" s="13"/>
    </row>
    <row r="757">
      <c r="B757" s="9"/>
      <c r="C757" s="13"/>
      <c r="D757" s="13"/>
    </row>
    <row r="758">
      <c r="B758" s="9"/>
      <c r="C758" s="13"/>
      <c r="D758" s="13"/>
    </row>
    <row r="759">
      <c r="B759" s="9"/>
      <c r="C759" s="13"/>
      <c r="D759" s="13"/>
    </row>
    <row r="760">
      <c r="B760" s="9"/>
      <c r="C760" s="13"/>
      <c r="D760" s="13"/>
    </row>
    <row r="761">
      <c r="B761" s="9"/>
      <c r="C761" s="13"/>
      <c r="D761" s="13"/>
    </row>
    <row r="762">
      <c r="B762" s="9"/>
      <c r="C762" s="13"/>
      <c r="D762" s="13"/>
    </row>
    <row r="763">
      <c r="B763" s="9"/>
      <c r="C763" s="13"/>
      <c r="D763" s="13"/>
    </row>
    <row r="764">
      <c r="B764" s="9"/>
      <c r="C764" s="13"/>
      <c r="D764" s="13"/>
    </row>
    <row r="765">
      <c r="B765" s="9"/>
      <c r="C765" s="13"/>
      <c r="D765" s="13"/>
    </row>
    <row r="766">
      <c r="B766" s="9"/>
      <c r="C766" s="13"/>
      <c r="D766" s="13"/>
    </row>
    <row r="767">
      <c r="B767" s="9"/>
      <c r="C767" s="13"/>
      <c r="D767" s="13"/>
    </row>
    <row r="768">
      <c r="B768" s="9"/>
      <c r="C768" s="13"/>
      <c r="D768" s="13"/>
    </row>
    <row r="769">
      <c r="B769" s="9"/>
      <c r="C769" s="13"/>
      <c r="D769" s="13"/>
    </row>
    <row r="770">
      <c r="B770" s="9"/>
      <c r="C770" s="13"/>
      <c r="D770" s="13"/>
    </row>
    <row r="771">
      <c r="B771" s="9"/>
      <c r="C771" s="13"/>
      <c r="D771" s="13"/>
    </row>
    <row r="772">
      <c r="B772" s="9"/>
      <c r="C772" s="13"/>
      <c r="D772" s="13"/>
    </row>
    <row r="773">
      <c r="B773" s="9"/>
      <c r="C773" s="13"/>
      <c r="D773" s="13"/>
    </row>
    <row r="774">
      <c r="B774" s="9"/>
      <c r="C774" s="13"/>
      <c r="D774" s="13"/>
    </row>
    <row r="775">
      <c r="B775" s="9"/>
      <c r="C775" s="13"/>
      <c r="D775" s="13"/>
    </row>
    <row r="776">
      <c r="B776" s="9"/>
      <c r="C776" s="13"/>
      <c r="D776" s="13"/>
    </row>
    <row r="777">
      <c r="B777" s="9"/>
      <c r="C777" s="13"/>
      <c r="D777" s="13"/>
    </row>
    <row r="778">
      <c r="B778" s="9"/>
      <c r="C778" s="13"/>
      <c r="D778" s="13"/>
    </row>
    <row r="779">
      <c r="B779" s="9"/>
      <c r="C779" s="13"/>
      <c r="D779" s="13"/>
    </row>
    <row r="780">
      <c r="B780" s="9"/>
      <c r="C780" s="13"/>
      <c r="D780" s="13"/>
    </row>
    <row r="781">
      <c r="B781" s="9"/>
      <c r="C781" s="13"/>
      <c r="D781" s="13"/>
    </row>
    <row r="782">
      <c r="B782" s="9"/>
      <c r="C782" s="13"/>
      <c r="D782" s="13"/>
    </row>
    <row r="783">
      <c r="B783" s="9"/>
      <c r="C783" s="13"/>
      <c r="D783" s="13"/>
    </row>
    <row r="784">
      <c r="B784" s="9"/>
      <c r="C784" s="13"/>
      <c r="D784" s="13"/>
    </row>
    <row r="785">
      <c r="B785" s="9"/>
      <c r="C785" s="13"/>
      <c r="D785" s="13"/>
    </row>
    <row r="786">
      <c r="B786" s="9"/>
      <c r="C786" s="13"/>
      <c r="D786" s="13"/>
    </row>
    <row r="787">
      <c r="B787" s="9"/>
      <c r="C787" s="13"/>
      <c r="D787" s="13"/>
    </row>
    <row r="788">
      <c r="B788" s="9"/>
      <c r="C788" s="13"/>
      <c r="D788" s="13"/>
    </row>
    <row r="789">
      <c r="B789" s="9"/>
      <c r="C789" s="13"/>
      <c r="D789" s="13"/>
    </row>
    <row r="790">
      <c r="B790" s="9"/>
      <c r="C790" s="13"/>
      <c r="D790" s="13"/>
    </row>
    <row r="791">
      <c r="B791" s="9"/>
      <c r="C791" s="13"/>
      <c r="D791" s="13"/>
    </row>
    <row r="792">
      <c r="B792" s="9"/>
      <c r="C792" s="13"/>
      <c r="D792" s="13"/>
    </row>
    <row r="793">
      <c r="B793" s="9"/>
      <c r="C793" s="13"/>
      <c r="D793" s="13"/>
    </row>
    <row r="794">
      <c r="B794" s="9"/>
      <c r="C794" s="13"/>
      <c r="D794" s="13"/>
    </row>
    <row r="795">
      <c r="B795" s="9"/>
      <c r="C795" s="13"/>
      <c r="D795" s="13"/>
    </row>
    <row r="796">
      <c r="B796" s="9"/>
      <c r="C796" s="13"/>
      <c r="D796" s="13"/>
    </row>
    <row r="797">
      <c r="B797" s="9"/>
      <c r="C797" s="13"/>
      <c r="D797" s="13"/>
    </row>
    <row r="798">
      <c r="B798" s="9"/>
      <c r="C798" s="13"/>
      <c r="D798" s="13"/>
    </row>
    <row r="799">
      <c r="B799" s="9"/>
      <c r="C799" s="13"/>
      <c r="D799" s="13"/>
    </row>
    <row r="800">
      <c r="B800" s="9"/>
      <c r="C800" s="13"/>
      <c r="D800" s="13"/>
    </row>
    <row r="801">
      <c r="B801" s="9"/>
      <c r="C801" s="13"/>
      <c r="D801" s="13"/>
    </row>
    <row r="802">
      <c r="B802" s="9"/>
      <c r="C802" s="13"/>
      <c r="D802" s="13"/>
    </row>
    <row r="803">
      <c r="B803" s="9"/>
      <c r="C803" s="13"/>
      <c r="D803" s="13"/>
    </row>
    <row r="804">
      <c r="B804" s="9"/>
      <c r="C804" s="13"/>
      <c r="D804" s="13"/>
    </row>
    <row r="805">
      <c r="B805" s="9"/>
      <c r="C805" s="13"/>
      <c r="D805" s="13"/>
    </row>
    <row r="806">
      <c r="B806" s="9"/>
      <c r="C806" s="13"/>
      <c r="D806" s="13"/>
    </row>
    <row r="807">
      <c r="B807" s="9"/>
      <c r="C807" s="13"/>
      <c r="D807" s="13"/>
    </row>
    <row r="808">
      <c r="B808" s="9"/>
      <c r="C808" s="13"/>
      <c r="D808" s="13"/>
    </row>
    <row r="809">
      <c r="B809" s="9"/>
      <c r="C809" s="13"/>
      <c r="D809" s="13"/>
    </row>
    <row r="810">
      <c r="B810" s="9"/>
      <c r="C810" s="13"/>
      <c r="D810" s="13"/>
    </row>
    <row r="811">
      <c r="B811" s="9"/>
      <c r="C811" s="13"/>
      <c r="D811" s="13"/>
    </row>
    <row r="812">
      <c r="B812" s="9"/>
      <c r="C812" s="13"/>
      <c r="D812" s="13"/>
    </row>
    <row r="813">
      <c r="B813" s="9"/>
      <c r="C813" s="13"/>
      <c r="D813" s="13"/>
    </row>
    <row r="814">
      <c r="B814" s="9"/>
      <c r="C814" s="13"/>
      <c r="D814" s="13"/>
    </row>
    <row r="815">
      <c r="B815" s="9"/>
      <c r="C815" s="13"/>
      <c r="D815" s="13"/>
    </row>
    <row r="816">
      <c r="B816" s="9"/>
      <c r="C816" s="13"/>
      <c r="D816" s="13"/>
    </row>
    <row r="817">
      <c r="B817" s="9"/>
      <c r="C817" s="13"/>
      <c r="D817" s="13"/>
    </row>
    <row r="818">
      <c r="B818" s="9"/>
      <c r="C818" s="13"/>
      <c r="D818" s="13"/>
    </row>
    <row r="819">
      <c r="B819" s="9"/>
      <c r="C819" s="13"/>
      <c r="D819" s="13"/>
    </row>
    <row r="820">
      <c r="B820" s="9"/>
      <c r="C820" s="13"/>
      <c r="D820" s="13"/>
    </row>
    <row r="821">
      <c r="B821" s="9"/>
      <c r="C821" s="13"/>
      <c r="D821" s="13"/>
    </row>
    <row r="822">
      <c r="B822" s="9"/>
      <c r="C822" s="13"/>
      <c r="D822" s="13"/>
    </row>
    <row r="823">
      <c r="B823" s="9"/>
      <c r="C823" s="13"/>
      <c r="D823" s="13"/>
    </row>
    <row r="824">
      <c r="B824" s="9"/>
      <c r="C824" s="13"/>
      <c r="D824" s="13"/>
    </row>
    <row r="825">
      <c r="B825" s="9"/>
      <c r="C825" s="13"/>
      <c r="D825" s="13"/>
    </row>
    <row r="826">
      <c r="B826" s="9"/>
      <c r="C826" s="13"/>
      <c r="D826" s="13"/>
    </row>
    <row r="827">
      <c r="B827" s="9"/>
      <c r="C827" s="13"/>
      <c r="D827" s="13"/>
    </row>
    <row r="828">
      <c r="B828" s="9"/>
      <c r="C828" s="13"/>
      <c r="D828" s="13"/>
    </row>
    <row r="829">
      <c r="B829" s="9"/>
      <c r="C829" s="13"/>
      <c r="D829" s="13"/>
    </row>
    <row r="830">
      <c r="B830" s="9"/>
      <c r="C830" s="13"/>
      <c r="D830" s="13"/>
    </row>
    <row r="831">
      <c r="B831" s="9"/>
      <c r="C831" s="13"/>
      <c r="D831" s="13"/>
    </row>
    <row r="832">
      <c r="B832" s="9"/>
      <c r="C832" s="13"/>
      <c r="D832" s="13"/>
    </row>
    <row r="833">
      <c r="B833" s="9"/>
      <c r="C833" s="13"/>
      <c r="D833" s="13"/>
    </row>
    <row r="834">
      <c r="B834" s="9"/>
      <c r="C834" s="13"/>
      <c r="D834" s="13"/>
    </row>
    <row r="835">
      <c r="B835" s="9"/>
      <c r="C835" s="13"/>
      <c r="D835" s="13"/>
    </row>
    <row r="836">
      <c r="B836" s="9"/>
      <c r="C836" s="13"/>
      <c r="D836" s="13"/>
    </row>
    <row r="837">
      <c r="B837" s="9"/>
      <c r="C837" s="13"/>
      <c r="D837" s="13"/>
    </row>
    <row r="838">
      <c r="B838" s="9"/>
      <c r="C838" s="13"/>
      <c r="D838" s="13"/>
    </row>
    <row r="839">
      <c r="B839" s="9"/>
      <c r="C839" s="13"/>
      <c r="D839" s="13"/>
    </row>
    <row r="840">
      <c r="B840" s="9"/>
      <c r="C840" s="13"/>
      <c r="D840" s="13"/>
    </row>
    <row r="841">
      <c r="B841" s="9"/>
      <c r="C841" s="13"/>
      <c r="D841" s="13"/>
    </row>
    <row r="842">
      <c r="B842" s="9"/>
      <c r="C842" s="13"/>
      <c r="D842" s="13"/>
    </row>
    <row r="843">
      <c r="B843" s="9"/>
      <c r="C843" s="13"/>
      <c r="D843" s="13"/>
    </row>
    <row r="844">
      <c r="B844" s="9"/>
      <c r="C844" s="13"/>
      <c r="D844" s="13"/>
    </row>
    <row r="845">
      <c r="B845" s="9"/>
      <c r="C845" s="13"/>
      <c r="D845" s="13"/>
    </row>
    <row r="846">
      <c r="B846" s="9"/>
      <c r="C846" s="13"/>
      <c r="D846" s="13"/>
    </row>
    <row r="847">
      <c r="B847" s="9"/>
      <c r="C847" s="13"/>
      <c r="D847" s="13"/>
    </row>
    <row r="848">
      <c r="B848" s="9"/>
      <c r="C848" s="13"/>
      <c r="D848" s="13"/>
    </row>
    <row r="849">
      <c r="B849" s="9"/>
      <c r="C849" s="13"/>
      <c r="D849" s="13"/>
    </row>
    <row r="850">
      <c r="B850" s="9"/>
      <c r="C850" s="13"/>
      <c r="D850" s="13"/>
    </row>
    <row r="851">
      <c r="B851" s="9"/>
      <c r="C851" s="13"/>
      <c r="D851" s="13"/>
    </row>
    <row r="852">
      <c r="B852" s="9"/>
      <c r="C852" s="13"/>
      <c r="D852" s="13"/>
    </row>
    <row r="853">
      <c r="B853" s="9"/>
      <c r="C853" s="13"/>
      <c r="D853" s="13"/>
    </row>
    <row r="854">
      <c r="B854" s="9"/>
      <c r="C854" s="13"/>
      <c r="D854" s="13"/>
    </row>
    <row r="855">
      <c r="B855" s="9"/>
      <c r="C855" s="13"/>
      <c r="D855" s="13"/>
    </row>
    <row r="856">
      <c r="B856" s="9"/>
      <c r="C856" s="13"/>
      <c r="D856" s="13"/>
    </row>
    <row r="857">
      <c r="B857" s="9"/>
      <c r="C857" s="13"/>
      <c r="D857" s="13"/>
    </row>
    <row r="858">
      <c r="B858" s="9"/>
      <c r="C858" s="13"/>
      <c r="D858" s="13"/>
    </row>
    <row r="859">
      <c r="B859" s="9"/>
      <c r="C859" s="13"/>
      <c r="D859" s="13"/>
    </row>
    <row r="860">
      <c r="B860" s="9"/>
      <c r="C860" s="13"/>
      <c r="D860" s="13"/>
    </row>
    <row r="861">
      <c r="B861" s="9"/>
      <c r="C861" s="13"/>
      <c r="D861" s="13"/>
    </row>
    <row r="862">
      <c r="B862" s="9"/>
      <c r="C862" s="13"/>
      <c r="D862" s="13"/>
    </row>
    <row r="863">
      <c r="B863" s="9"/>
      <c r="C863" s="13"/>
      <c r="D863" s="13"/>
    </row>
    <row r="864">
      <c r="B864" s="9"/>
      <c r="C864" s="13"/>
      <c r="D864" s="13"/>
    </row>
    <row r="865">
      <c r="B865" s="9"/>
      <c r="C865" s="13"/>
      <c r="D865" s="13"/>
    </row>
    <row r="866">
      <c r="B866" s="9"/>
      <c r="C866" s="13"/>
      <c r="D866" s="13"/>
    </row>
    <row r="867">
      <c r="B867" s="9"/>
      <c r="C867" s="13"/>
      <c r="D867" s="13"/>
    </row>
    <row r="868">
      <c r="B868" s="9"/>
      <c r="C868" s="13"/>
      <c r="D868" s="13"/>
    </row>
    <row r="869">
      <c r="B869" s="9"/>
      <c r="C869" s="13"/>
      <c r="D869" s="13"/>
    </row>
    <row r="870">
      <c r="B870" s="9"/>
      <c r="C870" s="13"/>
      <c r="D870" s="13"/>
    </row>
    <row r="871">
      <c r="B871" s="9"/>
      <c r="C871" s="13"/>
      <c r="D871" s="13"/>
    </row>
    <row r="872">
      <c r="B872" s="9"/>
      <c r="C872" s="13"/>
      <c r="D872" s="13"/>
    </row>
    <row r="873">
      <c r="B873" s="9"/>
      <c r="C873" s="13"/>
      <c r="D873" s="13"/>
    </row>
    <row r="874">
      <c r="B874" s="9"/>
      <c r="C874" s="13"/>
      <c r="D874" s="13"/>
    </row>
    <row r="875">
      <c r="B875" s="9"/>
      <c r="C875" s="13"/>
      <c r="D875" s="13"/>
    </row>
    <row r="876">
      <c r="B876" s="9"/>
      <c r="C876" s="13"/>
      <c r="D876" s="13"/>
    </row>
    <row r="877">
      <c r="B877" s="9"/>
      <c r="C877" s="13"/>
      <c r="D877" s="13"/>
    </row>
    <row r="878">
      <c r="B878" s="9"/>
      <c r="C878" s="13"/>
      <c r="D878" s="13"/>
    </row>
    <row r="879">
      <c r="B879" s="9"/>
      <c r="C879" s="13"/>
      <c r="D879" s="13"/>
    </row>
    <row r="880">
      <c r="B880" s="9"/>
      <c r="C880" s="13"/>
      <c r="D880" s="13"/>
    </row>
    <row r="881">
      <c r="B881" s="9"/>
      <c r="C881" s="13"/>
      <c r="D881" s="13"/>
    </row>
    <row r="882">
      <c r="B882" s="9"/>
      <c r="C882" s="13"/>
      <c r="D882" s="13"/>
    </row>
    <row r="883">
      <c r="B883" s="9"/>
      <c r="C883" s="13"/>
      <c r="D883" s="13"/>
    </row>
    <row r="884">
      <c r="B884" s="9"/>
      <c r="C884" s="13"/>
      <c r="D884" s="13"/>
    </row>
    <row r="885">
      <c r="B885" s="9"/>
      <c r="C885" s="13"/>
      <c r="D885" s="13"/>
    </row>
    <row r="886">
      <c r="B886" s="9"/>
      <c r="C886" s="13"/>
      <c r="D886" s="13"/>
    </row>
    <row r="887">
      <c r="B887" s="9"/>
      <c r="C887" s="13"/>
      <c r="D887" s="13"/>
    </row>
    <row r="888">
      <c r="B888" s="9"/>
      <c r="C888" s="13"/>
      <c r="D888" s="13"/>
    </row>
    <row r="889">
      <c r="B889" s="9"/>
      <c r="C889" s="13"/>
      <c r="D889" s="13"/>
    </row>
    <row r="890">
      <c r="B890" s="9"/>
      <c r="C890" s="13"/>
      <c r="D890" s="13"/>
    </row>
    <row r="891">
      <c r="B891" s="9"/>
      <c r="C891" s="13"/>
      <c r="D891" s="13"/>
    </row>
    <row r="892">
      <c r="B892" s="9"/>
      <c r="C892" s="13"/>
      <c r="D892" s="13"/>
    </row>
    <row r="893">
      <c r="B893" s="9"/>
      <c r="C893" s="13"/>
      <c r="D893" s="13"/>
    </row>
    <row r="894">
      <c r="B894" s="9"/>
      <c r="C894" s="13"/>
      <c r="D894" s="13"/>
    </row>
    <row r="895">
      <c r="B895" s="9"/>
      <c r="C895" s="13"/>
      <c r="D895" s="13"/>
    </row>
    <row r="896">
      <c r="B896" s="9"/>
      <c r="C896" s="13"/>
      <c r="D896" s="13"/>
    </row>
    <row r="897">
      <c r="B897" s="9"/>
      <c r="C897" s="13"/>
      <c r="D897" s="13"/>
    </row>
    <row r="898">
      <c r="B898" s="9"/>
      <c r="C898" s="13"/>
      <c r="D898" s="13"/>
    </row>
    <row r="899">
      <c r="B899" s="9"/>
      <c r="C899" s="13"/>
      <c r="D899" s="13"/>
    </row>
    <row r="900">
      <c r="B900" s="9"/>
      <c r="C900" s="13"/>
      <c r="D900" s="13"/>
    </row>
    <row r="901">
      <c r="B901" s="9"/>
      <c r="C901" s="13"/>
      <c r="D901" s="13"/>
    </row>
    <row r="902">
      <c r="B902" s="9"/>
      <c r="C902" s="13"/>
      <c r="D902" s="13"/>
    </row>
    <row r="903">
      <c r="B903" s="9"/>
      <c r="C903" s="13"/>
      <c r="D903" s="13"/>
    </row>
    <row r="904">
      <c r="B904" s="9"/>
      <c r="C904" s="13"/>
      <c r="D904" s="13"/>
    </row>
    <row r="905">
      <c r="B905" s="9"/>
      <c r="C905" s="13"/>
      <c r="D905" s="13"/>
    </row>
    <row r="906">
      <c r="B906" s="9"/>
      <c r="C906" s="13"/>
      <c r="D906" s="13"/>
    </row>
    <row r="907">
      <c r="B907" s="9"/>
      <c r="C907" s="13"/>
      <c r="D907" s="13"/>
    </row>
    <row r="908">
      <c r="B908" s="9"/>
      <c r="C908" s="13"/>
      <c r="D908" s="13"/>
    </row>
    <row r="909">
      <c r="B909" s="9"/>
      <c r="C909" s="13"/>
      <c r="D909" s="13"/>
    </row>
    <row r="910">
      <c r="B910" s="9"/>
      <c r="C910" s="13"/>
      <c r="D910" s="13"/>
    </row>
    <row r="911">
      <c r="B911" s="9"/>
      <c r="C911" s="13"/>
      <c r="D911" s="13"/>
    </row>
    <row r="912">
      <c r="B912" s="9"/>
      <c r="C912" s="13"/>
      <c r="D912" s="13"/>
    </row>
    <row r="913">
      <c r="B913" s="9"/>
      <c r="C913" s="13"/>
      <c r="D913" s="13"/>
    </row>
    <row r="914">
      <c r="B914" s="9"/>
      <c r="C914" s="13"/>
      <c r="D914" s="13"/>
    </row>
    <row r="915">
      <c r="B915" s="9"/>
      <c r="C915" s="13"/>
      <c r="D915" s="13"/>
    </row>
    <row r="916">
      <c r="B916" s="9"/>
      <c r="C916" s="13"/>
      <c r="D916" s="13"/>
    </row>
    <row r="917">
      <c r="B917" s="9"/>
      <c r="C917" s="13"/>
      <c r="D917" s="13"/>
    </row>
    <row r="918">
      <c r="B918" s="9"/>
      <c r="C918" s="13"/>
      <c r="D918" s="13"/>
    </row>
    <row r="919">
      <c r="B919" s="9"/>
      <c r="C919" s="13"/>
      <c r="D919" s="13"/>
    </row>
    <row r="920">
      <c r="B920" s="9"/>
      <c r="C920" s="13"/>
      <c r="D920" s="13"/>
    </row>
    <row r="921">
      <c r="B921" s="9"/>
      <c r="C921" s="13"/>
      <c r="D921" s="13"/>
    </row>
    <row r="922">
      <c r="B922" s="9"/>
      <c r="C922" s="13"/>
      <c r="D922" s="13"/>
    </row>
    <row r="923">
      <c r="B923" s="9"/>
      <c r="C923" s="13"/>
      <c r="D923" s="13"/>
    </row>
    <row r="924">
      <c r="B924" s="9"/>
      <c r="C924" s="13"/>
      <c r="D924" s="13"/>
    </row>
    <row r="925">
      <c r="B925" s="9"/>
      <c r="C925" s="13"/>
      <c r="D925" s="13"/>
    </row>
    <row r="926">
      <c r="B926" s="9"/>
      <c r="C926" s="13"/>
      <c r="D926" s="13"/>
    </row>
    <row r="927">
      <c r="B927" s="9"/>
      <c r="C927" s="13"/>
      <c r="D927" s="13"/>
    </row>
    <row r="928">
      <c r="B928" s="9"/>
      <c r="C928" s="13"/>
      <c r="D928" s="13"/>
    </row>
    <row r="929">
      <c r="B929" s="9"/>
      <c r="C929" s="13"/>
      <c r="D929" s="13"/>
    </row>
    <row r="930">
      <c r="B930" s="9"/>
      <c r="C930" s="13"/>
      <c r="D930" s="13"/>
    </row>
    <row r="931">
      <c r="B931" s="9"/>
      <c r="C931" s="13"/>
      <c r="D931" s="13"/>
    </row>
    <row r="932">
      <c r="B932" s="9"/>
      <c r="C932" s="13"/>
      <c r="D932" s="13"/>
    </row>
    <row r="933">
      <c r="B933" s="9"/>
      <c r="C933" s="13"/>
      <c r="D933" s="13"/>
    </row>
    <row r="934">
      <c r="B934" s="9"/>
      <c r="C934" s="13"/>
      <c r="D934" s="13"/>
    </row>
    <row r="935">
      <c r="B935" s="9"/>
      <c r="C935" s="13"/>
      <c r="D935" s="13"/>
    </row>
    <row r="936">
      <c r="B936" s="9"/>
      <c r="C936" s="13"/>
      <c r="D936" s="13"/>
    </row>
    <row r="937">
      <c r="B937" s="9"/>
      <c r="C937" s="13"/>
      <c r="D937" s="13"/>
    </row>
    <row r="938">
      <c r="B938" s="9"/>
      <c r="C938" s="13"/>
      <c r="D938" s="13"/>
    </row>
    <row r="939">
      <c r="B939" s="9"/>
      <c r="C939" s="13"/>
      <c r="D939" s="13"/>
    </row>
    <row r="940">
      <c r="B940" s="9"/>
      <c r="C940" s="13"/>
      <c r="D940" s="13"/>
    </row>
    <row r="941">
      <c r="B941" s="9"/>
      <c r="C941" s="13"/>
      <c r="D941" s="13"/>
    </row>
    <row r="942">
      <c r="B942" s="9"/>
      <c r="C942" s="13"/>
      <c r="D942" s="13"/>
    </row>
    <row r="943">
      <c r="B943" s="9"/>
      <c r="C943" s="13"/>
      <c r="D943" s="13"/>
    </row>
    <row r="944">
      <c r="B944" s="9"/>
      <c r="C944" s="13"/>
      <c r="D944" s="13"/>
    </row>
    <row r="945">
      <c r="B945" s="9"/>
      <c r="C945" s="13"/>
      <c r="D945" s="13"/>
    </row>
    <row r="946">
      <c r="B946" s="9"/>
      <c r="C946" s="13"/>
      <c r="D946" s="13"/>
    </row>
    <row r="947">
      <c r="B947" s="9"/>
      <c r="C947" s="13"/>
      <c r="D947" s="13"/>
    </row>
    <row r="948">
      <c r="B948" s="9"/>
      <c r="C948" s="13"/>
      <c r="D948" s="13"/>
    </row>
    <row r="949">
      <c r="B949" s="9"/>
      <c r="C949" s="13"/>
      <c r="D949" s="13"/>
    </row>
    <row r="950">
      <c r="B950" s="9"/>
      <c r="C950" s="13"/>
      <c r="D950" s="13"/>
    </row>
    <row r="951">
      <c r="B951" s="9"/>
      <c r="C951" s="13"/>
      <c r="D951" s="13"/>
    </row>
    <row r="952">
      <c r="B952" s="9"/>
      <c r="C952" s="13"/>
      <c r="D952" s="13"/>
    </row>
    <row r="953">
      <c r="B953" s="9"/>
      <c r="C953" s="13"/>
      <c r="D953" s="13"/>
    </row>
    <row r="954">
      <c r="B954" s="9"/>
      <c r="C954" s="13"/>
      <c r="D954" s="13"/>
    </row>
    <row r="955">
      <c r="B955" s="9"/>
      <c r="C955" s="13"/>
      <c r="D955" s="13"/>
    </row>
    <row r="956">
      <c r="B956" s="9"/>
      <c r="C956" s="13"/>
      <c r="D956" s="13"/>
    </row>
    <row r="957">
      <c r="B957" s="9"/>
      <c r="C957" s="13"/>
      <c r="D957" s="13"/>
    </row>
    <row r="958">
      <c r="B958" s="9"/>
      <c r="C958" s="13"/>
      <c r="D958" s="13"/>
    </row>
    <row r="959">
      <c r="B959" s="9"/>
      <c r="C959" s="13"/>
      <c r="D959" s="13"/>
    </row>
    <row r="960">
      <c r="B960" s="9"/>
      <c r="C960" s="13"/>
      <c r="D960" s="13"/>
    </row>
    <row r="961">
      <c r="B961" s="9"/>
      <c r="C961" s="13"/>
      <c r="D961" s="13"/>
    </row>
    <row r="962">
      <c r="B962" s="9"/>
      <c r="C962" s="13"/>
      <c r="D962" s="13"/>
    </row>
    <row r="963">
      <c r="B963" s="9"/>
      <c r="C963" s="13"/>
      <c r="D963" s="13"/>
    </row>
    <row r="964">
      <c r="B964" s="9"/>
      <c r="C964" s="13"/>
      <c r="D964" s="13"/>
    </row>
    <row r="965">
      <c r="B965" s="9"/>
      <c r="C965" s="13"/>
      <c r="D965" s="13"/>
    </row>
    <row r="966">
      <c r="B966" s="9"/>
      <c r="C966" s="13"/>
      <c r="D966" s="13"/>
    </row>
    <row r="967">
      <c r="B967" s="9"/>
      <c r="C967" s="13"/>
      <c r="D967" s="13"/>
    </row>
    <row r="968">
      <c r="B968" s="9"/>
      <c r="C968" s="13"/>
      <c r="D968" s="13"/>
    </row>
    <row r="969">
      <c r="B969" s="9"/>
      <c r="C969" s="13"/>
      <c r="D969" s="13"/>
    </row>
    <row r="970">
      <c r="B970" s="9"/>
      <c r="C970" s="13"/>
      <c r="D970" s="13"/>
    </row>
    <row r="971">
      <c r="B971" s="9"/>
      <c r="C971" s="13"/>
      <c r="D971" s="13"/>
    </row>
    <row r="972">
      <c r="B972" s="9"/>
      <c r="C972" s="13"/>
      <c r="D972" s="13"/>
    </row>
    <row r="973">
      <c r="B973" s="9"/>
      <c r="C973" s="13"/>
      <c r="D973" s="13"/>
    </row>
    <row r="974">
      <c r="B974" s="9"/>
      <c r="C974" s="13"/>
      <c r="D974" s="13"/>
    </row>
    <row r="975">
      <c r="B975" s="9"/>
      <c r="C975" s="13"/>
      <c r="D975" s="13"/>
    </row>
    <row r="976">
      <c r="B976" s="9"/>
      <c r="C976" s="13"/>
      <c r="D976" s="13"/>
    </row>
    <row r="977">
      <c r="B977" s="9"/>
      <c r="C977" s="13"/>
      <c r="D977" s="13"/>
    </row>
    <row r="978">
      <c r="B978" s="9"/>
      <c r="C978" s="13"/>
      <c r="D978" s="13"/>
    </row>
    <row r="979">
      <c r="B979" s="9"/>
      <c r="C979" s="13"/>
      <c r="D979" s="13"/>
    </row>
    <row r="980">
      <c r="B980" s="9"/>
      <c r="C980" s="13"/>
      <c r="D980" s="13"/>
    </row>
    <row r="981">
      <c r="B981" s="9"/>
      <c r="C981" s="13"/>
      <c r="D981" s="13"/>
    </row>
    <row r="982">
      <c r="B982" s="9"/>
      <c r="C982" s="13"/>
      <c r="D982" s="13"/>
    </row>
    <row r="983">
      <c r="B983" s="9"/>
      <c r="C983" s="13"/>
      <c r="D983" s="13"/>
    </row>
    <row r="984">
      <c r="B984" s="9"/>
      <c r="C984" s="13"/>
      <c r="D984" s="13"/>
    </row>
    <row r="985">
      <c r="B985" s="9"/>
      <c r="C985" s="13"/>
      <c r="D985" s="13"/>
    </row>
  </sheetData>
  <dataValidations>
    <dataValidation type="list" allowBlank="1" showErrorMessage="1" sqref="A2:A279">
      <formula1>"Protein,Veggies,Bread,Drink,Gas,Ingredients,Market List,Pepper &amp; Co,Electricity,Salaries,Rent,Miscellaneous,Other Expenses,Operating Expenses,Petroleum,Packaging,Main Dish,Special Meal,Swallow Meal,Protein,Extra,Drink,Delivery Fee"</formula1>
    </dataValidation>
    <dataValidation type="list" allowBlank="1" showErrorMessage="1" sqref="E2:E279">
      <formula1>"Expenses,Sales,N/A"</formula1>
    </dataValidation>
    <dataValidation type="list" allowBlank="1" showErrorMessage="1" sqref="B2:B279">
      <formula1>" Apr 2025, Aug 2025, Dec 2025, Feb 2025, Feb 2026, Jan 2025, Jan 2026, Jul 2025, Jun 2025, Mar 2025, Mar 2026, May 2025, Nov 2025, Oct 2025, Sep 2025,Month"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</v>
      </c>
      <c r="B1" s="15" t="s">
        <v>18</v>
      </c>
      <c r="C1" s="15" t="s">
        <v>6</v>
      </c>
      <c r="D1" s="15" t="s">
        <v>27</v>
      </c>
      <c r="E1" s="15" t="s">
        <v>28</v>
      </c>
      <c r="F1" s="14" t="s">
        <v>29</v>
      </c>
      <c r="G1" s="14" t="s">
        <v>30</v>
      </c>
      <c r="H1" s="16" t="s">
        <v>31</v>
      </c>
      <c r="I1" s="14" t="s">
        <v>32</v>
      </c>
    </row>
    <row r="2">
      <c r="A2" s="17">
        <v>45658.0</v>
      </c>
      <c r="B2" s="13">
        <f>SUMIFS(Analysis!C:C, Analysis!E:E, "Sales", Analysis!B:B, "&gt;="&amp;A2, Analysis!B:B, "&lt;"&amp;EDATE(A2,1))</f>
        <v>20654862.5</v>
      </c>
      <c r="C2" s="15">
        <f>SUMIFS(Analysis!C:C, Analysis!E:E, "Expenses", Analysis!B:B, "&gt;="&amp;A2, Analysis!B:B, "&lt;"&amp;EDATE(A2,1))</f>
        <v>10068099.35</v>
      </c>
      <c r="D2" s="13">
        <f>-SUMIFS(Analysis!C:C,Analysis!B:B, "&gt;="&amp;A2,Analysis!B:B,"&lt;"&amp;EDate(A2,1), Analysis!A:A,"Electricity")-SUMIFS(Analysis!C:C,Analysis!B:B, "&gt;="&amp;A2,Analysis!B:B,"&lt;"&amp;EDate(A2,1), Analysis!A:A,"Petroleum")  -SUMIFS(Analysis!C:C,Analysis!B:B, "&gt;="&amp;A2,Analysis!B:B,"&lt;"&amp;EDate(A2,1), Analysis!A:A,"rent") -SUMIFS(Analysis!C:C,Analysis!B:B, "&gt;="&amp;A2,Analysis!B:B,"&lt;"&amp;EDate(A2,1), Analysis!A:A,"salaries")</f>
        <v>-931500</v>
      </c>
      <c r="E2" s="13">
        <f>-SUMIFS(Analysis!C:C, Analysis!E:E,"Expenses", Analysis!B:B, "&gt;="&amp;A2,Analysis!B:B,"&lt;"&amp;EDate(A2,1), Analysis!A:A,"&lt;&gt;Electricity",Analysis!A:A,"&lt;&gt;Petroleum",Analysis!A:A,"&lt;&gt;rent",Analysis!A:A,"&lt;&gt;salaries") </f>
        <v>-9136599.35</v>
      </c>
      <c r="F2" s="13">
        <f t="shared" ref="F2:F16" si="1">B:B +E:E</f>
        <v>11518263.15</v>
      </c>
      <c r="G2" s="13">
        <f t="shared" ref="G2:G16" si="2">F:F + D:D</f>
        <v>10586763.15</v>
      </c>
      <c r="H2" s="18">
        <f t="shared" ref="H2:H16" si="3">(F:F/B:B)</f>
        <v>0.5576538285</v>
      </c>
      <c r="I2" s="18">
        <f t="shared" ref="I2:I16" si="4">(G:G/B:B)</f>
        <v>0.5125554891</v>
      </c>
      <c r="J2" s="18"/>
    </row>
    <row r="3">
      <c r="A3" s="17">
        <v>45689.0</v>
      </c>
      <c r="B3" s="13">
        <f>SUMIFS(Analysis!C:C, Analysis!E:E, "Sales", Analysis!B:B, "&gt;="&amp;A3, Analysis!B:B, "&lt;"&amp;EDATE(A3,1))</f>
        <v>17828450</v>
      </c>
      <c r="C3" s="15">
        <f>SUMIFS(Analysis!C:C, Analysis!E:E, "Expenses", Analysis!B:B, "&gt;="&amp;A3, Analysis!B:B, "&lt;"&amp;EDATE(A3,1))</f>
        <v>9178495</v>
      </c>
      <c r="D3" s="13">
        <f>-SUMIFS(Analysis!C:C,Analysis!B:B, "&gt;="&amp;A3,Analysis!B:B,"&lt;"&amp;EDate(A3,1), Analysis!A:A,"Electricity")-SUMIFS(Analysis!C:C,Analysis!B:B, "&gt;="&amp;A3,Analysis!B:B,"&lt;"&amp;EDate(A3,1), Analysis!A:A,"Petroleum")  -SUMIFS(Analysis!C:C,Analysis!B:B, "&gt;="&amp;A3,Analysis!B:B,"&lt;"&amp;EDate(A3,1), Analysis!A:A,"rent") -SUMIFS(Analysis!C:C,Analysis!B:B, "&gt;="&amp;A3,Analysis!B:B,"&lt;"&amp;EDate(A3,1), Analysis!A:A,"salaries")</f>
        <v>-816500</v>
      </c>
      <c r="E3" s="13">
        <f>-SUMIFS(Analysis!C:C, Analysis!E:E,"Expenses", Analysis!B:B, "&gt;="&amp;A3,Analysis!B:B,"&lt;"&amp;EDate(A3,1), Analysis!A:A,"&lt;&gt;Electricity",Analysis!A:A,"&lt;&gt;Petroleum",Analysis!A:A,"&lt;&gt;rent",Analysis!A:A,"&lt;&gt;salaries") </f>
        <v>-8361995</v>
      </c>
      <c r="F3" s="13">
        <f t="shared" si="1"/>
        <v>9466455</v>
      </c>
      <c r="G3" s="13">
        <f t="shared" si="2"/>
        <v>8649955</v>
      </c>
      <c r="H3" s="18">
        <f t="shared" si="3"/>
        <v>0.5309746501</v>
      </c>
      <c r="I3" s="18">
        <f t="shared" si="4"/>
        <v>0.4851770625</v>
      </c>
    </row>
    <row r="4">
      <c r="A4" s="17">
        <v>45717.0</v>
      </c>
      <c r="B4" s="13">
        <f>SUMIFS(Analysis!C:C, Analysis!E:E, "Sales", Analysis!B:B, "&gt;="&amp;A4, Analysis!B:B, "&lt;"&amp;EDATE(A4,1))</f>
        <v>15026992.5</v>
      </c>
      <c r="C4" s="15">
        <f>SUMIFS(Analysis!C:C, Analysis!E:E, "Expenses", Analysis!B:B, "&gt;="&amp;A4, Analysis!B:B, "&lt;"&amp;EDATE(A4,1))</f>
        <v>9062393.3</v>
      </c>
      <c r="D4" s="13">
        <f>-SUMIFS(Analysis!C:C,Analysis!B:B, "&gt;="&amp;A4,Analysis!B:B,"&lt;"&amp;EDate(A4,1), Analysis!A:A,"Electricity")-SUMIFS(Analysis!C:C,Analysis!B:B, "&gt;="&amp;A4,Analysis!B:B,"&lt;"&amp;EDate(A4,1), Analysis!A:A,"Petroleum")  -SUMIFS(Analysis!C:C,Analysis!B:B, "&gt;="&amp;A4,Analysis!B:B,"&lt;"&amp;EDate(A4,1), Analysis!A:A,"rent") -SUMIFS(Analysis!C:C,Analysis!B:B, "&gt;="&amp;A4,Analysis!B:B,"&lt;"&amp;EDate(A4,1), Analysis!A:A,"salaries")</f>
        <v>-816500</v>
      </c>
      <c r="E4" s="13">
        <f>-SUMIFS(Analysis!C:C, Analysis!E:E,"Expenses", Analysis!B:B, "&gt;="&amp;A4,Analysis!B:B,"&lt;"&amp;EDate(A4,1), Analysis!A:A,"&lt;&gt;Electricity",Analysis!A:A,"&lt;&gt;Petroleum",Analysis!A:A,"&lt;&gt;rent",Analysis!A:A,"&lt;&gt;salaries") </f>
        <v>-8245893.3</v>
      </c>
      <c r="F4" s="13">
        <f t="shared" si="1"/>
        <v>6781099.2</v>
      </c>
      <c r="G4" s="13">
        <f t="shared" si="2"/>
        <v>5964599.2</v>
      </c>
      <c r="H4" s="18">
        <f t="shared" si="3"/>
        <v>0.4512612354</v>
      </c>
      <c r="I4" s="18">
        <f t="shared" si="4"/>
        <v>0.3969256789</v>
      </c>
    </row>
    <row r="5">
      <c r="A5" s="17">
        <v>45748.0</v>
      </c>
      <c r="B5" s="13">
        <f>SUMIFS(Analysis!C:C, Analysis!E:E, "Sales", Analysis!B:B, "&gt;="&amp;A5, Analysis!B:B, "&lt;"&amp;EDATE(A5,1))</f>
        <v>13758945</v>
      </c>
      <c r="C5" s="15">
        <f>SUMIFS(Analysis!C:C, Analysis!E:E, "Expenses", Analysis!B:B, "&gt;="&amp;A5, Analysis!B:B, "&lt;"&amp;EDATE(A5,1))</f>
        <v>9411174.5</v>
      </c>
      <c r="D5" s="13">
        <f>-SUMIFS(Analysis!C:C,Analysis!B:B, "&gt;="&amp;A5,Analysis!B:B,"&lt;"&amp;EDate(A5,1), Analysis!A:A,"Electricity")-SUMIFS(Analysis!C:C,Analysis!B:B, "&gt;="&amp;A5,Analysis!B:B,"&lt;"&amp;EDate(A5,1), Analysis!A:A,"Petroleum")  -SUMIFS(Analysis!C:C,Analysis!B:B, "&gt;="&amp;A5,Analysis!B:B,"&lt;"&amp;EDate(A5,1), Analysis!A:A,"rent") -SUMIFS(Analysis!C:C,Analysis!B:B, "&gt;="&amp;A5,Analysis!B:B,"&lt;"&amp;EDate(A5,1), Analysis!A:A,"salaries")</f>
        <v>-759000</v>
      </c>
      <c r="E5" s="13">
        <f>-SUMIFS(Analysis!C:C, Analysis!E:E,"Expenses", Analysis!B:B, "&gt;="&amp;A5,Analysis!B:B,"&lt;"&amp;EDate(A5,1), Analysis!A:A,"&lt;&gt;Electricity",Analysis!A:A,"&lt;&gt;Petroleum",Analysis!A:A,"&lt;&gt;rent",Analysis!A:A,"&lt;&gt;salaries") </f>
        <v>-8652174.5</v>
      </c>
      <c r="F5" s="13">
        <f t="shared" si="1"/>
        <v>5106770.5</v>
      </c>
      <c r="G5" s="13">
        <f t="shared" si="2"/>
        <v>4347770.5</v>
      </c>
      <c r="H5" s="18">
        <f t="shared" si="3"/>
        <v>0.3711600344</v>
      </c>
      <c r="I5" s="18">
        <f t="shared" si="4"/>
        <v>0.3159959212</v>
      </c>
    </row>
    <row r="6">
      <c r="A6" s="17">
        <v>45778.0</v>
      </c>
      <c r="B6" s="13">
        <f>SUMIFS(Analysis!C:C, Analysis!E:E, "Sales", Analysis!B:B, "&gt;="&amp;A6, Analysis!B:B, "&lt;"&amp;EDATE(A6,1))</f>
        <v>15133827.5</v>
      </c>
      <c r="C6" s="15">
        <f>SUMIFS(Analysis!C:C, Analysis!E:E, "Expenses", Analysis!B:B, "&gt;="&amp;A6, Analysis!B:B, "&lt;"&amp;EDATE(A6,1))</f>
        <v>9623464.5</v>
      </c>
      <c r="D6" s="13">
        <f>-SUMIFS(Analysis!C:C,Analysis!B:B, "&gt;="&amp;A6,Analysis!B:B,"&lt;"&amp;EDate(A6,1), Analysis!A:A,"Electricity")-SUMIFS(Analysis!C:C,Analysis!B:B, "&gt;="&amp;A6,Analysis!B:B,"&lt;"&amp;EDate(A6,1), Analysis!A:A,"Petroleum")  -SUMIFS(Analysis!C:C,Analysis!B:B, "&gt;="&amp;A6,Analysis!B:B,"&lt;"&amp;EDate(A6,1), Analysis!A:A,"rent") -SUMIFS(Analysis!C:C,Analysis!B:B, "&gt;="&amp;A6,Analysis!B:B,"&lt;"&amp;EDate(A6,1), Analysis!A:A,"salaries")</f>
        <v>-759000</v>
      </c>
      <c r="E6" s="13">
        <f>-SUMIFS(Analysis!C:C, Analysis!E:E,"Expenses", Analysis!B:B, "&gt;="&amp;A6,Analysis!B:B,"&lt;"&amp;EDate(A6,1), Analysis!A:A,"&lt;&gt;Electricity",Analysis!A:A,"&lt;&gt;Petroleum",Analysis!A:A,"&lt;&gt;rent",Analysis!A:A,"&lt;&gt;salaries") </f>
        <v>-8864464.5</v>
      </c>
      <c r="F6" s="13">
        <f t="shared" si="1"/>
        <v>6269363</v>
      </c>
      <c r="G6" s="13">
        <f t="shared" si="2"/>
        <v>5510363</v>
      </c>
      <c r="H6" s="18">
        <f t="shared" si="3"/>
        <v>0.4142615607</v>
      </c>
      <c r="I6" s="18">
        <f t="shared" si="4"/>
        <v>0.3641090134</v>
      </c>
    </row>
    <row r="7">
      <c r="A7" s="17">
        <v>45809.0</v>
      </c>
      <c r="B7" s="13">
        <f>SUMIFS(Analysis!C:C, Analysis!E:E, "Sales", Analysis!B:B, "&gt;="&amp;A7, Analysis!B:B, "&lt;"&amp;EDATE(A7,1))</f>
        <v>15133827.5</v>
      </c>
      <c r="C7" s="15">
        <f>SUMIFS(Analysis!C:C, Analysis!E:E, "Expenses", Analysis!B:B, "&gt;="&amp;A7, Analysis!B:B, "&lt;"&amp;EDATE(A7,1))</f>
        <v>10471336.5</v>
      </c>
      <c r="D7" s="13">
        <f>-SUMIFS(Analysis!C:C,Analysis!B:B, "&gt;="&amp;A7,Analysis!B:B,"&lt;"&amp;EDate(A7,1), Analysis!A:A,"Electricity")-SUMIFS(Analysis!C:C,Analysis!B:B, "&gt;="&amp;A7,Analysis!B:B,"&lt;"&amp;EDate(A7,1), Analysis!A:A,"Petroleum")  -SUMIFS(Analysis!C:C,Analysis!B:B, "&gt;="&amp;A7,Analysis!B:B,"&lt;"&amp;EDate(A7,1), Analysis!A:A,"rent") -SUMIFS(Analysis!C:C,Analysis!B:B, "&gt;="&amp;A7,Analysis!B:B,"&lt;"&amp;EDate(A7,1), Analysis!A:A,"salaries")</f>
        <v>-799250</v>
      </c>
      <c r="E7" s="13">
        <f>-SUMIFS(Analysis!C:C, Analysis!E:E,"Expenses", Analysis!B:B, "&gt;="&amp;A7,Analysis!B:B,"&lt;"&amp;EDate(A7,1), Analysis!A:A,"&lt;&gt;Electricity",Analysis!A:A,"&lt;&gt;Petroleum",Analysis!A:A,"&lt;&gt;rent",Analysis!A:A,"&lt;&gt;salaries") </f>
        <v>-9672086.5</v>
      </c>
      <c r="F7" s="13">
        <f t="shared" si="1"/>
        <v>5461741</v>
      </c>
      <c r="G7" s="13">
        <f t="shared" si="2"/>
        <v>4662491</v>
      </c>
      <c r="H7" s="18">
        <f t="shared" si="3"/>
        <v>0.3608962108</v>
      </c>
      <c r="I7" s="18">
        <f t="shared" si="4"/>
        <v>0.3080840587</v>
      </c>
    </row>
    <row r="8">
      <c r="A8" s="17">
        <v>45839.0</v>
      </c>
      <c r="B8" s="13">
        <f>SUMIFS(Analysis!C:C, Analysis!E:E, "Sales", Analysis!B:B, "&gt;="&amp;A8, Analysis!B:B, "&lt;"&amp;EDATE(A8,1))</f>
        <v>16100000</v>
      </c>
      <c r="C8" s="15">
        <f>SUMIFS(Analysis!C:C, Analysis!E:E, "Expenses", Analysis!B:B, "&gt;="&amp;A8, Analysis!B:B, "&lt;"&amp;EDATE(A8,1))</f>
        <v>12474613.5</v>
      </c>
      <c r="D8" s="13">
        <f>-SUMIFS(Analysis!C:C,Analysis!B:B, "&gt;="&amp;A8,Analysis!B:B,"&lt;"&amp;EDate(A8,1), Analysis!A:A,"Electricity")-SUMIFS(Analysis!C:C,Analysis!B:B, "&gt;="&amp;A8,Analysis!B:B,"&lt;"&amp;EDate(A8,1), Analysis!A:A,"Petroleum")  -SUMIFS(Analysis!C:C,Analysis!B:B, "&gt;="&amp;A8,Analysis!B:B,"&lt;"&amp;EDate(A8,1), Analysis!A:A,"rent") -SUMIFS(Analysis!C:C,Analysis!B:B, "&gt;="&amp;A8,Analysis!B:B,"&lt;"&amp;EDate(A8,1), Analysis!A:A,"salaries")</f>
        <v>-799250</v>
      </c>
      <c r="E8" s="13">
        <f>-SUMIFS(Analysis!C:C, Analysis!E:E,"Expenses", Analysis!B:B, "&gt;="&amp;A8,Analysis!B:B,"&lt;"&amp;EDate(A8,1), Analysis!A:A,"&lt;&gt;Electricity",Analysis!A:A,"&lt;&gt;Petroleum",Analysis!A:A,"&lt;&gt;rent",Analysis!A:A,"&lt;&gt;salaries") </f>
        <v>-11675363.5</v>
      </c>
      <c r="F8" s="13">
        <f t="shared" si="1"/>
        <v>4424636.5</v>
      </c>
      <c r="G8" s="13">
        <f t="shared" si="2"/>
        <v>3625386.5</v>
      </c>
      <c r="H8" s="18">
        <f t="shared" si="3"/>
        <v>0.2748221429</v>
      </c>
      <c r="I8" s="18">
        <f t="shared" si="4"/>
        <v>0.2251792857</v>
      </c>
    </row>
    <row r="9">
      <c r="A9" s="17">
        <v>45870.0</v>
      </c>
      <c r="B9" s="13">
        <f>SUMIFS(Analysis!C:C, Analysis!E:E, "Sales", Analysis!B:B, "&gt;="&amp;A9, Analysis!B:B, "&lt;"&amp;EDATE(A9,1))</f>
        <v>16289807.5</v>
      </c>
      <c r="C9" s="15">
        <f>SUMIFS(Analysis!C:C, Analysis!E:E, "Expenses", Analysis!B:B, "&gt;="&amp;A9, Analysis!B:B, "&lt;"&amp;EDATE(A9,1))</f>
        <v>10108799</v>
      </c>
      <c r="D9" s="13">
        <f>-SUMIFS(Analysis!C:C,Analysis!B:B, "&gt;="&amp;A9,Analysis!B:B,"&lt;"&amp;EDate(A9,1), Analysis!A:A,"Electricity")-SUMIFS(Analysis!C:C,Analysis!B:B, "&gt;="&amp;A9,Analysis!B:B,"&lt;"&amp;EDate(A9,1), Analysis!A:A,"Petroleum")  -SUMIFS(Analysis!C:C,Analysis!B:B, "&gt;="&amp;A9,Analysis!B:B,"&lt;"&amp;EDate(A9,1), Analysis!A:A,"rent") -SUMIFS(Analysis!C:C,Analysis!B:B, "&gt;="&amp;A9,Analysis!B:B,"&lt;"&amp;EDate(A9,1), Analysis!A:A,"salaries")</f>
        <v>-845250</v>
      </c>
      <c r="E9" s="13">
        <f>-SUMIFS(Analysis!C:C, Analysis!E:E,"Expenses", Analysis!B:B, "&gt;="&amp;A9,Analysis!B:B,"&lt;"&amp;EDate(A9,1), Analysis!A:A,"&lt;&gt;Electricity",Analysis!A:A,"&lt;&gt;Petroleum",Analysis!A:A,"&lt;&gt;rent",Analysis!A:A,"&lt;&gt;salaries") </f>
        <v>-9263549</v>
      </c>
      <c r="F9" s="13">
        <f t="shared" si="1"/>
        <v>7026258.5</v>
      </c>
      <c r="G9" s="13">
        <f t="shared" si="2"/>
        <v>6181008.5</v>
      </c>
      <c r="H9" s="18">
        <f t="shared" si="3"/>
        <v>0.4313285163</v>
      </c>
      <c r="I9" s="18">
        <f t="shared" si="4"/>
        <v>0.379440242</v>
      </c>
    </row>
    <row r="10">
      <c r="A10" s="17">
        <v>45901.0</v>
      </c>
      <c r="B10" s="13">
        <f>SUMIFS(Analysis!C:C, Analysis!E:E, "Sales", Analysis!B:B, "&gt;="&amp;A10, Analysis!B:B, "&lt;"&amp;EDATE(A10,1))</f>
        <v>14669457.5</v>
      </c>
      <c r="C10" s="15">
        <f>SUMIFS(Analysis!C:C, Analysis!E:E, "Expenses", Analysis!B:B, "&gt;="&amp;A10, Analysis!B:B, "&lt;"&amp;EDATE(A10,1))</f>
        <v>8603999.85</v>
      </c>
      <c r="D10" s="13">
        <f>-SUMIFS(Analysis!C:C,Analysis!B:B, "&gt;="&amp;A10,Analysis!B:B,"&lt;"&amp;EDate(A10,1), Analysis!A:A,"Electricity")-SUMIFS(Analysis!C:C,Analysis!B:B, "&gt;="&amp;A10,Analysis!B:B,"&lt;"&amp;EDate(A10,1), Analysis!A:A,"Petroleum")  -SUMIFS(Analysis!C:C,Analysis!B:B, "&gt;="&amp;A10,Analysis!B:B,"&lt;"&amp;EDate(A10,1), Analysis!A:A,"rent") -SUMIFS(Analysis!C:C,Analysis!B:B, "&gt;="&amp;A10,Analysis!B:B,"&lt;"&amp;EDate(A10,1), Analysis!A:A,"salaries")</f>
        <v>-845250</v>
      </c>
      <c r="E10" s="13">
        <f>-SUMIFS(Analysis!C:C, Analysis!E:E,"Expenses", Analysis!B:B, "&gt;="&amp;A10,Analysis!B:B,"&lt;"&amp;EDate(A10,1), Analysis!A:A,"&lt;&gt;Electricity",Analysis!A:A,"&lt;&gt;Petroleum",Analysis!A:A,"&lt;&gt;rent",Analysis!A:A,"&lt;&gt;salaries") </f>
        <v>-7758749.85</v>
      </c>
      <c r="F10" s="13">
        <f t="shared" si="1"/>
        <v>6910707.65</v>
      </c>
      <c r="G10" s="13">
        <f t="shared" si="2"/>
        <v>6065457.65</v>
      </c>
      <c r="H10" s="18">
        <f t="shared" si="3"/>
        <v>0.4710949706</v>
      </c>
      <c r="I10" s="18">
        <f t="shared" si="4"/>
        <v>0.4134752529</v>
      </c>
    </row>
    <row r="11">
      <c r="A11" s="17">
        <v>45931.0</v>
      </c>
      <c r="B11" s="13">
        <f>SUMIFS(Analysis!C:C, Analysis!E:E, "Sales", Analysis!B:B, "&gt;="&amp;A11, Analysis!B:B, "&lt;"&amp;EDATE(A11,1))</f>
        <v>14669457.5</v>
      </c>
      <c r="C11" s="15">
        <f>SUMIFS(Analysis!C:C, Analysis!E:E, "Expenses", Analysis!B:B, "&gt;="&amp;A11, Analysis!B:B, "&lt;"&amp;EDATE(A11,1))</f>
        <v>10270132.5</v>
      </c>
      <c r="D11" s="13">
        <f>-SUMIFS(Analysis!C:C,Analysis!B:B, "&gt;="&amp;A11,Analysis!B:B,"&lt;"&amp;EDate(A11,1), Analysis!A:A,"Electricity")-SUMIFS(Analysis!C:C,Analysis!B:B, "&gt;="&amp;A11,Analysis!B:B,"&lt;"&amp;EDate(A11,1), Analysis!A:A,"Petroleum")  -SUMIFS(Analysis!C:C,Analysis!B:B, "&gt;="&amp;A11,Analysis!B:B,"&lt;"&amp;EDate(A11,1), Analysis!A:A,"rent") -SUMIFS(Analysis!C:C,Analysis!B:B, "&gt;="&amp;A11,Analysis!B:B,"&lt;"&amp;EDate(A11,1), Analysis!A:A,"salaries")</f>
        <v>-937250</v>
      </c>
      <c r="E11" s="13">
        <f>-SUMIFS(Analysis!C:C, Analysis!E:E,"Expenses", Analysis!B:B, "&gt;="&amp;A11,Analysis!B:B,"&lt;"&amp;EDate(A11,1), Analysis!A:A,"&lt;&gt;Electricity",Analysis!A:A,"&lt;&gt;Petroleum",Analysis!A:A,"&lt;&gt;rent",Analysis!A:A,"&lt;&gt;salaries") </f>
        <v>-9332882.5</v>
      </c>
      <c r="F11" s="13">
        <f t="shared" si="1"/>
        <v>5336575</v>
      </c>
      <c r="G11" s="13">
        <f t="shared" si="2"/>
        <v>4399325</v>
      </c>
      <c r="H11" s="18">
        <f t="shared" si="3"/>
        <v>0.3637881633</v>
      </c>
      <c r="I11" s="18">
        <f t="shared" si="4"/>
        <v>0.2998969117</v>
      </c>
    </row>
    <row r="12">
      <c r="A12" s="17">
        <v>45962.0</v>
      </c>
      <c r="B12" s="13">
        <f>SUMIFS(Analysis!C:C, Analysis!E:E, "Sales", Analysis!B:B, "&gt;="&amp;A12, Analysis!B:B, "&lt;"&amp;EDATE(A12,1))</f>
        <v>14757145</v>
      </c>
      <c r="C12" s="15">
        <f>SUMIFS(Analysis!C:C, Analysis!E:E, "Expenses", Analysis!B:B, "&gt;="&amp;A12, Analysis!B:B, "&lt;"&amp;EDATE(A12,1))</f>
        <v>11566113.5</v>
      </c>
      <c r="D12" s="13">
        <f>-SUMIFS(Analysis!C:C,Analysis!B:B, "&gt;="&amp;A12,Analysis!B:B,"&lt;"&amp;EDate(A12,1), Analysis!A:A,"Electricity")-SUMIFS(Analysis!C:C,Analysis!B:B, "&gt;="&amp;A12,Analysis!B:B,"&lt;"&amp;EDate(A12,1), Analysis!A:A,"Petroleum")  -SUMIFS(Analysis!C:C,Analysis!B:B, "&gt;="&amp;A12,Analysis!B:B,"&lt;"&amp;EDate(A12,1), Analysis!A:A,"rent") -SUMIFS(Analysis!C:C,Analysis!B:B, "&gt;="&amp;A12,Analysis!B:B,"&lt;"&amp;EDate(A12,1), Analysis!A:A,"salaries")</f>
        <v>-879750</v>
      </c>
      <c r="E12" s="13">
        <f>-SUMIFS(Analysis!C:C, Analysis!E:E,"Expenses", Analysis!B:B, "&gt;="&amp;A12,Analysis!B:B,"&lt;"&amp;EDate(A12,1), Analysis!A:A,"&lt;&gt;Electricity",Analysis!A:A,"&lt;&gt;Petroleum",Analysis!A:A,"&lt;&gt;rent",Analysis!A:A,"&lt;&gt;salaries") </f>
        <v>-10686363.5</v>
      </c>
      <c r="F12" s="13">
        <f t="shared" si="1"/>
        <v>4070781.5</v>
      </c>
      <c r="G12" s="13">
        <f t="shared" si="2"/>
        <v>3191031.5</v>
      </c>
      <c r="H12" s="18">
        <f t="shared" si="3"/>
        <v>0.2758515621</v>
      </c>
      <c r="I12" s="18">
        <f t="shared" si="4"/>
        <v>0.2162363723</v>
      </c>
    </row>
    <row r="13">
      <c r="A13" s="17">
        <v>45992.0</v>
      </c>
      <c r="B13" s="13">
        <f>SUMIFS(Analysis!C:C, Analysis!E:E, "Sales", Analysis!B:B, "&gt;="&amp;A13, Analysis!B:B, "&lt;"&amp;EDATE(A13,1))</f>
        <v>14110960</v>
      </c>
      <c r="C13" s="15">
        <f>SUMIFS(Analysis!C:C, Analysis!E:E, "Expenses", Analysis!B:B, "&gt;="&amp;A13, Analysis!B:B, "&lt;"&amp;EDATE(A13,1))</f>
        <v>11229462.5</v>
      </c>
      <c r="D13" s="13">
        <f>-SUMIFS(Analysis!C:C,Analysis!B:B, "&gt;="&amp;A13,Analysis!B:B,"&lt;"&amp;EDate(A13,1), Analysis!A:A,"Electricity")-SUMIFS(Analysis!C:C,Analysis!B:B, "&gt;="&amp;A13,Analysis!B:B,"&lt;"&amp;EDate(A13,1), Analysis!A:A,"Petroleum")  -SUMIFS(Analysis!C:C,Analysis!B:B, "&gt;="&amp;A13,Analysis!B:B,"&lt;"&amp;EDate(A13,1), Analysis!A:A,"rent") -SUMIFS(Analysis!C:C,Analysis!B:B, "&gt;="&amp;A13,Analysis!B:B,"&lt;"&amp;EDate(A13,1), Analysis!A:A,"salaries")</f>
        <v>-874000</v>
      </c>
      <c r="E13" s="13">
        <f>-SUMIFS(Analysis!C:C, Analysis!E:E,"Expenses", Analysis!B:B, "&gt;="&amp;A13,Analysis!B:B,"&lt;"&amp;EDate(A13,1), Analysis!A:A,"&lt;&gt;Electricity",Analysis!A:A,"&lt;&gt;Petroleum",Analysis!A:A,"&lt;&gt;rent",Analysis!A:A,"&lt;&gt;salaries") </f>
        <v>-10355462.5</v>
      </c>
      <c r="F13" s="13">
        <f t="shared" si="1"/>
        <v>3755497.5</v>
      </c>
      <c r="G13" s="13">
        <f t="shared" si="2"/>
        <v>2881497.5</v>
      </c>
      <c r="H13" s="18">
        <f t="shared" si="3"/>
        <v>0.2661404681</v>
      </c>
      <c r="I13" s="18">
        <f t="shared" si="4"/>
        <v>0.204202797</v>
      </c>
    </row>
    <row r="14">
      <c r="A14" s="17">
        <v>46023.0</v>
      </c>
      <c r="B14" s="13">
        <f>SUMIFS(Analysis!C:C, Analysis!E:E, "Sales", Analysis!B:B, "&gt;="&amp;A14, Analysis!B:B, "&lt;"&amp;EDATE(A14,1))</f>
        <v>11092670</v>
      </c>
      <c r="C14" s="15">
        <f>SUMIFS(Analysis!C:C, Analysis!E:E, "Expenses", Analysis!B:B, "&gt;="&amp;A14, Analysis!B:B, "&lt;"&amp;EDATE(A14,1))</f>
        <v>5690901.5</v>
      </c>
      <c r="D14" s="13">
        <f>-SUMIFS(Analysis!C:C,Analysis!B:B, "&gt;="&amp;A14,Analysis!B:B,"&lt;"&amp;EDate(A14,1), Analysis!A:A,"Electricity")-SUMIFS(Analysis!C:C,Analysis!B:B, "&gt;="&amp;A14,Analysis!B:B,"&lt;"&amp;EDate(A14,1), Analysis!A:A,"Petroleum")  -SUMIFS(Analysis!C:C,Analysis!B:B, "&gt;="&amp;A14,Analysis!B:B,"&lt;"&amp;EDate(A14,1), Analysis!A:A,"rent") -SUMIFS(Analysis!C:C,Analysis!B:B, "&gt;="&amp;A14,Analysis!B:B,"&lt;"&amp;EDate(A14,1), Analysis!A:A,"salaries")</f>
        <v>-816500</v>
      </c>
      <c r="E14" s="13">
        <f>-SUMIFS(Analysis!C:C, Analysis!E:E,"Expenses", Analysis!B:B, "&gt;="&amp;A14,Analysis!B:B,"&lt;"&amp;EDate(A14,1), Analysis!A:A,"&lt;&gt;Electricity",Analysis!A:A,"&lt;&gt;Petroleum",Analysis!A:A,"&lt;&gt;rent",Analysis!A:A,"&lt;&gt;salaries") </f>
        <v>-4874401.5</v>
      </c>
      <c r="F14" s="13">
        <f t="shared" si="1"/>
        <v>6218268.5</v>
      </c>
      <c r="G14" s="13">
        <f t="shared" si="2"/>
        <v>5401768.5</v>
      </c>
      <c r="H14" s="18">
        <f t="shared" si="3"/>
        <v>0.5605745506</v>
      </c>
      <c r="I14" s="18">
        <f t="shared" si="4"/>
        <v>0.4869673848</v>
      </c>
    </row>
    <row r="15">
      <c r="A15" s="17">
        <v>46054.0</v>
      </c>
      <c r="B15" s="13">
        <f>SUMIFS(Analysis!C:C, Analysis!E:E, "Sales", Analysis!B:B, "&gt;="&amp;A15, Analysis!B:B, "&lt;"&amp;EDATE(A15,1))</f>
        <v>10207745</v>
      </c>
      <c r="C15" s="15">
        <f>SUMIFS(Analysis!C:C, Analysis!E:E, "Expenses", Analysis!B:B, "&gt;="&amp;A15, Analysis!B:B, "&lt;"&amp;EDATE(A15,1))</f>
        <v>6994035.5</v>
      </c>
      <c r="D15" s="13">
        <f>-SUMIFS(Analysis!C:C,Analysis!B:B, "&gt;="&amp;A15,Analysis!B:B,"&lt;"&amp;EDate(A15,1), Analysis!A:A,"Electricity")-SUMIFS(Analysis!C:C,Analysis!B:B, "&gt;="&amp;A15,Analysis!B:B,"&lt;"&amp;EDate(A15,1), Analysis!A:A,"Petroleum")  -SUMIFS(Analysis!C:C,Analysis!B:B, "&gt;="&amp;A15,Analysis!B:B,"&lt;"&amp;EDate(A15,1), Analysis!A:A,"rent") -SUMIFS(Analysis!C:C,Analysis!B:B, "&gt;="&amp;A15,Analysis!B:B,"&lt;"&amp;EDate(A15,1), Analysis!A:A,"salaries")</f>
        <v>-799250</v>
      </c>
      <c r="E15" s="13">
        <f>-SUMIFS(Analysis!C:C, Analysis!E:E,"Expenses", Analysis!B:B, "&gt;="&amp;A15,Analysis!B:B,"&lt;"&amp;EDate(A15,1), Analysis!A:A,"&lt;&gt;Electricity",Analysis!A:A,"&lt;&gt;Petroleum",Analysis!A:A,"&lt;&gt;rent",Analysis!A:A,"&lt;&gt;salaries") </f>
        <v>-6194785.5</v>
      </c>
      <c r="F15" s="13">
        <f t="shared" si="1"/>
        <v>4012959.5</v>
      </c>
      <c r="G15" s="13">
        <f t="shared" si="2"/>
        <v>3213709.5</v>
      </c>
      <c r="H15" s="18">
        <f t="shared" si="3"/>
        <v>0.3931288938</v>
      </c>
      <c r="I15" s="18">
        <f t="shared" si="4"/>
        <v>0.3148305037</v>
      </c>
    </row>
    <row r="16">
      <c r="A16" s="17">
        <v>46082.0</v>
      </c>
      <c r="B16" s="13">
        <f>SUMIFS(Analysis!C:C, Analysis!E:E, "Sales", Analysis!B:B, "&gt;="&amp;A16, Analysis!B:B, "&lt;"&amp;EDATE(A16,1))</f>
        <v>12095872.5</v>
      </c>
      <c r="C16" s="15">
        <f>SUMIFS(Analysis!C:C, Analysis!E:E, "Expenses", Analysis!B:B, "&gt;="&amp;A16, Analysis!B:B, "&lt;"&amp;EDATE(A16,1))</f>
        <v>7597043.75</v>
      </c>
      <c r="D16" s="13">
        <f>-SUMIFS(Analysis!C:C,Analysis!B:B, "&gt;="&amp;A16,Analysis!B:B,"&lt;"&amp;EDate(A16,1), Analysis!A:A,"Electricity")-SUMIFS(Analysis!C:C,Analysis!B:B, "&gt;="&amp;A16,Analysis!B:B,"&lt;"&amp;EDate(A16,1), Analysis!A:A,"Petroleum")  -SUMIFS(Analysis!C:C,Analysis!B:B, "&gt;="&amp;A16,Analysis!B:B,"&lt;"&amp;EDate(A16,1), Analysis!A:A,"rent") -SUMIFS(Analysis!C:C,Analysis!B:B, "&gt;="&amp;A16,Analysis!B:B,"&lt;"&amp;EDate(A16,1), Analysis!A:A,"salaries")</f>
        <v>-799250</v>
      </c>
      <c r="E16" s="13">
        <f>-SUMIFS(Analysis!C:C, Analysis!E:E,"Expenses", Analysis!B:B, "&gt;="&amp;A16,Analysis!B:B,"&lt;"&amp;EDate(A16,1), Analysis!A:A,"&lt;&gt;Electricity",Analysis!A:A,"&lt;&gt;Petroleum",Analysis!A:A,"&lt;&gt;rent",Analysis!A:A,"&lt;&gt;salaries") </f>
        <v>-6797793.75</v>
      </c>
      <c r="F16" s="13">
        <f t="shared" si="1"/>
        <v>5298078.75</v>
      </c>
      <c r="G16" s="13">
        <f t="shared" si="2"/>
        <v>4498828.75</v>
      </c>
      <c r="H16" s="18">
        <f t="shared" si="3"/>
        <v>0.4380071591</v>
      </c>
      <c r="I16" s="18">
        <f t="shared" si="4"/>
        <v>0.3719309004</v>
      </c>
    </row>
    <row r="17">
      <c r="B17" s="13"/>
      <c r="C17" s="13"/>
      <c r="D17" s="13"/>
      <c r="E17" s="13"/>
      <c r="F17" s="13">
        <f>SUM(F2:F16)</f>
        <v>91657455.25</v>
      </c>
      <c r="H17" s="18"/>
    </row>
    <row r="18">
      <c r="C18" s="13"/>
    </row>
    <row r="19">
      <c r="B19" s="13"/>
      <c r="C19" s="13"/>
      <c r="D19" s="13"/>
      <c r="E19" s="13"/>
      <c r="H19" s="18"/>
    </row>
    <row r="20">
      <c r="B20" s="13"/>
      <c r="C20" s="13"/>
      <c r="D20" s="13"/>
      <c r="E20" s="13"/>
      <c r="H20" s="18"/>
    </row>
    <row r="21">
      <c r="B21" s="13"/>
      <c r="C21" s="13"/>
      <c r="D21" s="13"/>
      <c r="E21" s="13"/>
      <c r="H21" s="18"/>
    </row>
    <row r="22">
      <c r="B22" s="13"/>
      <c r="C22" s="13"/>
      <c r="D22" s="13"/>
      <c r="E22" s="13"/>
      <c r="H22" s="18"/>
    </row>
    <row r="23">
      <c r="B23" s="13"/>
      <c r="C23" s="13"/>
      <c r="D23" s="13"/>
      <c r="E23" s="13"/>
      <c r="H23" s="18"/>
    </row>
    <row r="24">
      <c r="B24" s="13"/>
      <c r="C24" s="13"/>
      <c r="D24" s="13"/>
      <c r="E24" s="13"/>
      <c r="H24" s="18"/>
    </row>
    <row r="25">
      <c r="B25" s="13"/>
      <c r="C25" s="13"/>
      <c r="D25" s="13"/>
      <c r="E25" s="13"/>
      <c r="H25" s="18"/>
    </row>
    <row r="26">
      <c r="B26" s="13"/>
      <c r="C26" s="13"/>
      <c r="D26" s="13"/>
      <c r="E26" s="13"/>
      <c r="H26" s="18"/>
    </row>
    <row r="27">
      <c r="B27" s="13"/>
      <c r="C27" s="13"/>
      <c r="D27" s="13"/>
      <c r="E27" s="13"/>
      <c r="H27" s="18"/>
    </row>
    <row r="28">
      <c r="B28" s="13"/>
      <c r="C28" s="13"/>
      <c r="D28" s="13"/>
      <c r="E28" s="13"/>
      <c r="H28" s="18"/>
    </row>
    <row r="29">
      <c r="B29" s="13"/>
      <c r="C29" s="13"/>
      <c r="D29" s="13"/>
      <c r="E29" s="13"/>
      <c r="H29" s="18"/>
    </row>
    <row r="30">
      <c r="B30" s="13"/>
      <c r="C30" s="13"/>
      <c r="D30" s="13"/>
      <c r="E30" s="13"/>
      <c r="H30" s="18"/>
    </row>
    <row r="31">
      <c r="B31" s="13"/>
      <c r="C31" s="13"/>
      <c r="D31" s="13"/>
      <c r="E31" s="13"/>
      <c r="H31" s="18"/>
    </row>
    <row r="32">
      <c r="B32" s="13"/>
      <c r="C32" s="13"/>
      <c r="D32" s="13"/>
      <c r="E32" s="13"/>
      <c r="H32" s="18"/>
    </row>
    <row r="33">
      <c r="B33" s="13"/>
      <c r="C33" s="13"/>
      <c r="D33" s="13"/>
      <c r="E33" s="13"/>
      <c r="H33" s="18"/>
    </row>
    <row r="34">
      <c r="B34" s="13"/>
      <c r="C34" s="13"/>
      <c r="D34" s="13"/>
      <c r="E34" s="13"/>
      <c r="H34" s="18"/>
    </row>
    <row r="35">
      <c r="B35" s="13"/>
      <c r="C35" s="13"/>
      <c r="D35" s="13"/>
      <c r="E35" s="13"/>
      <c r="H35" s="18"/>
    </row>
    <row r="36">
      <c r="B36" s="13"/>
      <c r="C36" s="13"/>
      <c r="D36" s="13"/>
      <c r="E36" s="13"/>
      <c r="H36" s="18"/>
    </row>
    <row r="37">
      <c r="B37" s="13"/>
      <c r="C37" s="13"/>
      <c r="D37" s="13"/>
      <c r="E37" s="13"/>
      <c r="H37" s="18"/>
    </row>
    <row r="38">
      <c r="B38" s="13"/>
      <c r="C38" s="13"/>
      <c r="D38" s="13"/>
      <c r="E38" s="13"/>
      <c r="H38" s="18"/>
    </row>
    <row r="39">
      <c r="B39" s="13"/>
      <c r="C39" s="13"/>
      <c r="D39" s="13"/>
      <c r="E39" s="13"/>
      <c r="H39" s="18"/>
    </row>
    <row r="40">
      <c r="B40" s="13"/>
      <c r="C40" s="13"/>
      <c r="D40" s="13"/>
      <c r="E40" s="13"/>
      <c r="H40" s="18"/>
    </row>
    <row r="41">
      <c r="B41" s="13"/>
      <c r="C41" s="13"/>
      <c r="D41" s="13"/>
      <c r="E41" s="13"/>
      <c r="H41" s="18"/>
    </row>
    <row r="42">
      <c r="B42" s="13"/>
      <c r="C42" s="13"/>
      <c r="D42" s="13"/>
      <c r="E42" s="13"/>
      <c r="H42" s="18"/>
    </row>
    <row r="43">
      <c r="B43" s="13"/>
      <c r="C43" s="13"/>
      <c r="D43" s="13"/>
      <c r="E43" s="13"/>
      <c r="H43" s="18"/>
    </row>
    <row r="44">
      <c r="B44" s="13"/>
      <c r="C44" s="13"/>
      <c r="D44" s="13"/>
      <c r="E44" s="13"/>
      <c r="H44" s="18"/>
    </row>
    <row r="45">
      <c r="B45" s="13"/>
      <c r="C45" s="13"/>
      <c r="D45" s="13"/>
      <c r="E45" s="13"/>
      <c r="H45" s="18"/>
    </row>
    <row r="46">
      <c r="B46" s="13"/>
      <c r="C46" s="13"/>
      <c r="D46" s="13"/>
      <c r="E46" s="13"/>
      <c r="H46" s="18"/>
    </row>
    <row r="47">
      <c r="B47" s="13"/>
      <c r="C47" s="13"/>
      <c r="D47" s="13"/>
      <c r="E47" s="13"/>
      <c r="H47" s="18"/>
    </row>
    <row r="48">
      <c r="B48" s="13"/>
      <c r="C48" s="13"/>
      <c r="D48" s="13"/>
      <c r="E48" s="13"/>
      <c r="H48" s="18"/>
    </row>
    <row r="49">
      <c r="B49" s="13"/>
      <c r="C49" s="13"/>
      <c r="D49" s="13"/>
      <c r="E49" s="13"/>
      <c r="H49" s="18"/>
    </row>
    <row r="50">
      <c r="B50" s="13"/>
      <c r="C50" s="13"/>
      <c r="D50" s="13"/>
      <c r="E50" s="13"/>
      <c r="H50" s="18"/>
    </row>
    <row r="51">
      <c r="B51" s="13"/>
      <c r="C51" s="13"/>
      <c r="D51" s="13"/>
      <c r="E51" s="13"/>
      <c r="H51" s="18"/>
    </row>
    <row r="52">
      <c r="B52" s="13"/>
      <c r="C52" s="13"/>
      <c r="D52" s="13"/>
      <c r="E52" s="13"/>
      <c r="H52" s="18"/>
    </row>
    <row r="53">
      <c r="B53" s="13"/>
      <c r="C53" s="13"/>
      <c r="D53" s="13"/>
      <c r="E53" s="13"/>
      <c r="H53" s="18"/>
    </row>
    <row r="54">
      <c r="B54" s="13"/>
      <c r="C54" s="13"/>
      <c r="D54" s="13"/>
      <c r="E54" s="13"/>
      <c r="H54" s="18"/>
    </row>
    <row r="55">
      <c r="B55" s="13"/>
      <c r="C55" s="13"/>
      <c r="D55" s="13"/>
      <c r="E55" s="13"/>
      <c r="H55" s="18"/>
    </row>
    <row r="56">
      <c r="B56" s="13"/>
      <c r="C56" s="13"/>
      <c r="D56" s="13"/>
      <c r="E56" s="13"/>
      <c r="H56" s="18"/>
    </row>
    <row r="57">
      <c r="B57" s="13"/>
      <c r="C57" s="13"/>
      <c r="D57" s="13"/>
      <c r="E57" s="13"/>
      <c r="H57" s="18"/>
    </row>
    <row r="58">
      <c r="B58" s="13"/>
      <c r="C58" s="13"/>
      <c r="D58" s="13"/>
      <c r="E58" s="13"/>
      <c r="H58" s="18"/>
    </row>
    <row r="59">
      <c r="B59" s="13"/>
      <c r="C59" s="13"/>
      <c r="D59" s="13"/>
      <c r="E59" s="13"/>
      <c r="H59" s="18"/>
    </row>
    <row r="60">
      <c r="B60" s="13"/>
      <c r="C60" s="13"/>
      <c r="D60" s="13"/>
      <c r="E60" s="13"/>
      <c r="H60" s="18"/>
    </row>
    <row r="61">
      <c r="B61" s="13"/>
      <c r="C61" s="13"/>
      <c r="D61" s="13"/>
      <c r="E61" s="13"/>
      <c r="H61" s="18"/>
    </row>
    <row r="62">
      <c r="B62" s="13"/>
      <c r="C62" s="13"/>
      <c r="D62" s="13"/>
      <c r="E62" s="13"/>
      <c r="H62" s="18"/>
    </row>
    <row r="63">
      <c r="B63" s="13"/>
      <c r="C63" s="13"/>
      <c r="D63" s="13"/>
      <c r="E63" s="13"/>
      <c r="H63" s="18"/>
    </row>
    <row r="64">
      <c r="B64" s="13"/>
      <c r="C64" s="13"/>
      <c r="D64" s="13"/>
      <c r="E64" s="13"/>
      <c r="H64" s="18"/>
    </row>
    <row r="65">
      <c r="B65" s="13"/>
      <c r="C65" s="13"/>
      <c r="D65" s="13"/>
      <c r="E65" s="13"/>
      <c r="H65" s="18"/>
    </row>
    <row r="66">
      <c r="B66" s="13"/>
      <c r="C66" s="13"/>
      <c r="D66" s="13"/>
      <c r="E66" s="13"/>
      <c r="H66" s="18"/>
    </row>
    <row r="67">
      <c r="B67" s="13"/>
      <c r="C67" s="13"/>
      <c r="D67" s="13"/>
      <c r="E67" s="13"/>
      <c r="H67" s="18"/>
    </row>
    <row r="68">
      <c r="B68" s="13"/>
      <c r="C68" s="13"/>
      <c r="D68" s="13"/>
      <c r="E68" s="13"/>
      <c r="H68" s="18"/>
    </row>
    <row r="69">
      <c r="B69" s="13"/>
      <c r="C69" s="13"/>
      <c r="D69" s="13"/>
      <c r="E69" s="13"/>
      <c r="H69" s="18"/>
    </row>
    <row r="70">
      <c r="B70" s="13"/>
      <c r="C70" s="13"/>
      <c r="D70" s="13"/>
      <c r="E70" s="13"/>
      <c r="H70" s="18"/>
    </row>
    <row r="71">
      <c r="B71" s="13"/>
      <c r="C71" s="13"/>
      <c r="D71" s="13"/>
      <c r="E71" s="13"/>
      <c r="H71" s="18"/>
    </row>
    <row r="72">
      <c r="B72" s="13"/>
      <c r="C72" s="13"/>
      <c r="D72" s="13"/>
      <c r="E72" s="13"/>
      <c r="H72" s="18"/>
    </row>
    <row r="73">
      <c r="B73" s="13"/>
      <c r="C73" s="13"/>
      <c r="D73" s="13"/>
      <c r="E73" s="13"/>
      <c r="H73" s="18"/>
    </row>
    <row r="74">
      <c r="B74" s="13"/>
      <c r="C74" s="13"/>
      <c r="D74" s="13"/>
      <c r="E74" s="13"/>
      <c r="H74" s="18"/>
    </row>
    <row r="75">
      <c r="B75" s="13"/>
      <c r="C75" s="13"/>
      <c r="D75" s="13"/>
      <c r="E75" s="13"/>
      <c r="H75" s="18"/>
    </row>
    <row r="76">
      <c r="B76" s="13"/>
      <c r="C76" s="13"/>
      <c r="D76" s="13"/>
      <c r="E76" s="13"/>
      <c r="H76" s="18"/>
    </row>
    <row r="77">
      <c r="B77" s="13"/>
      <c r="C77" s="13"/>
      <c r="D77" s="13"/>
      <c r="E77" s="13"/>
      <c r="H77" s="18"/>
    </row>
    <row r="78">
      <c r="B78" s="13"/>
      <c r="C78" s="13"/>
      <c r="D78" s="13"/>
      <c r="E78" s="13"/>
      <c r="H78" s="18"/>
    </row>
    <row r="79">
      <c r="B79" s="13"/>
      <c r="C79" s="13"/>
      <c r="D79" s="13"/>
      <c r="E79" s="13"/>
      <c r="H79" s="18"/>
    </row>
    <row r="80">
      <c r="B80" s="13"/>
      <c r="C80" s="13"/>
      <c r="D80" s="13"/>
      <c r="E80" s="13"/>
      <c r="H80" s="18"/>
    </row>
    <row r="81">
      <c r="B81" s="13"/>
      <c r="C81" s="13"/>
      <c r="D81" s="13"/>
      <c r="E81" s="13"/>
      <c r="H81" s="18"/>
    </row>
    <row r="82">
      <c r="B82" s="13"/>
      <c r="C82" s="13"/>
      <c r="D82" s="13"/>
      <c r="E82" s="13"/>
      <c r="H82" s="18"/>
    </row>
    <row r="83">
      <c r="B83" s="13"/>
      <c r="C83" s="13"/>
      <c r="D83" s="13"/>
      <c r="E83" s="13"/>
      <c r="H83" s="18"/>
    </row>
    <row r="84">
      <c r="B84" s="13"/>
      <c r="C84" s="13"/>
      <c r="D84" s="13"/>
      <c r="E84" s="13"/>
      <c r="H84" s="18"/>
    </row>
    <row r="85">
      <c r="B85" s="13"/>
      <c r="C85" s="13"/>
      <c r="D85" s="13"/>
      <c r="E85" s="13"/>
      <c r="H85" s="18"/>
    </row>
    <row r="86">
      <c r="B86" s="13"/>
      <c r="C86" s="13"/>
      <c r="D86" s="13"/>
      <c r="E86" s="13"/>
      <c r="H86" s="18"/>
    </row>
    <row r="87">
      <c r="B87" s="13"/>
      <c r="C87" s="13"/>
      <c r="D87" s="13"/>
      <c r="E87" s="13"/>
      <c r="H87" s="18"/>
    </row>
    <row r="88">
      <c r="B88" s="13"/>
      <c r="C88" s="13"/>
      <c r="D88" s="13"/>
      <c r="E88" s="13"/>
      <c r="H88" s="18"/>
    </row>
    <row r="89">
      <c r="B89" s="13"/>
      <c r="C89" s="13"/>
      <c r="D89" s="13"/>
      <c r="E89" s="13"/>
      <c r="H89" s="18"/>
    </row>
    <row r="90">
      <c r="B90" s="13"/>
      <c r="C90" s="13"/>
      <c r="D90" s="13"/>
      <c r="E90" s="13"/>
      <c r="H90" s="18"/>
    </row>
    <row r="91">
      <c r="B91" s="13"/>
      <c r="C91" s="13"/>
      <c r="D91" s="13"/>
      <c r="E91" s="13"/>
      <c r="H91" s="18"/>
    </row>
    <row r="92">
      <c r="B92" s="13"/>
      <c r="C92" s="13"/>
      <c r="D92" s="13"/>
      <c r="E92" s="13"/>
      <c r="H92" s="18"/>
    </row>
    <row r="93">
      <c r="B93" s="13"/>
      <c r="C93" s="13"/>
      <c r="D93" s="13"/>
      <c r="E93" s="13"/>
      <c r="H93" s="18"/>
    </row>
    <row r="94">
      <c r="B94" s="13"/>
      <c r="C94" s="13"/>
      <c r="D94" s="13"/>
      <c r="E94" s="13"/>
      <c r="H94" s="18"/>
    </row>
    <row r="95">
      <c r="B95" s="13"/>
      <c r="C95" s="13"/>
      <c r="D95" s="13"/>
      <c r="E95" s="13"/>
      <c r="H95" s="18"/>
    </row>
    <row r="96">
      <c r="B96" s="13"/>
      <c r="C96" s="13"/>
      <c r="D96" s="13"/>
      <c r="E96" s="13"/>
      <c r="H96" s="18"/>
    </row>
    <row r="97">
      <c r="B97" s="13"/>
      <c r="C97" s="13"/>
      <c r="D97" s="13"/>
      <c r="E97" s="13"/>
      <c r="H97" s="18"/>
    </row>
    <row r="98">
      <c r="B98" s="13"/>
      <c r="C98" s="13"/>
      <c r="D98" s="13"/>
      <c r="E98" s="13"/>
      <c r="H98" s="18"/>
    </row>
    <row r="99">
      <c r="B99" s="13"/>
      <c r="C99" s="13"/>
      <c r="D99" s="13"/>
      <c r="E99" s="13"/>
      <c r="H99" s="18"/>
    </row>
    <row r="100">
      <c r="B100" s="13"/>
      <c r="C100" s="13"/>
      <c r="D100" s="13"/>
      <c r="E100" s="13"/>
      <c r="H100" s="18"/>
    </row>
    <row r="101">
      <c r="B101" s="13"/>
      <c r="C101" s="13"/>
      <c r="D101" s="13"/>
      <c r="E101" s="13"/>
      <c r="H101" s="18"/>
    </row>
    <row r="102">
      <c r="B102" s="13"/>
      <c r="C102" s="13"/>
      <c r="D102" s="13"/>
      <c r="E102" s="13"/>
      <c r="H102" s="18"/>
    </row>
    <row r="103">
      <c r="B103" s="13"/>
      <c r="C103" s="13"/>
      <c r="D103" s="13"/>
      <c r="E103" s="13"/>
      <c r="H103" s="18"/>
    </row>
    <row r="104">
      <c r="B104" s="13"/>
      <c r="C104" s="13"/>
      <c r="D104" s="13"/>
      <c r="E104" s="13"/>
      <c r="H104" s="18"/>
    </row>
    <row r="105">
      <c r="B105" s="13"/>
      <c r="C105" s="13"/>
      <c r="D105" s="13"/>
      <c r="E105" s="13"/>
      <c r="H105" s="18"/>
    </row>
    <row r="106">
      <c r="B106" s="13"/>
      <c r="C106" s="13"/>
      <c r="D106" s="13"/>
      <c r="E106" s="13"/>
      <c r="H106" s="18"/>
    </row>
    <row r="107">
      <c r="B107" s="13"/>
      <c r="C107" s="13"/>
      <c r="D107" s="13"/>
      <c r="E107" s="13"/>
      <c r="H107" s="18"/>
    </row>
    <row r="108">
      <c r="B108" s="13"/>
      <c r="C108" s="13"/>
      <c r="D108" s="13"/>
      <c r="E108" s="13"/>
      <c r="H108" s="18"/>
    </row>
    <row r="109">
      <c r="B109" s="13"/>
      <c r="C109" s="13"/>
      <c r="D109" s="13"/>
      <c r="E109" s="13"/>
      <c r="H109" s="18"/>
    </row>
    <row r="110">
      <c r="B110" s="13"/>
      <c r="C110" s="13"/>
      <c r="D110" s="13"/>
      <c r="E110" s="13"/>
      <c r="H110" s="18"/>
    </row>
    <row r="111">
      <c r="B111" s="13"/>
      <c r="C111" s="13"/>
      <c r="D111" s="13"/>
      <c r="E111" s="13"/>
      <c r="H111" s="18"/>
    </row>
    <row r="112">
      <c r="B112" s="13"/>
      <c r="C112" s="13"/>
      <c r="D112" s="13"/>
      <c r="E112" s="13"/>
      <c r="H112" s="18"/>
    </row>
    <row r="113">
      <c r="B113" s="13"/>
      <c r="C113" s="13"/>
      <c r="D113" s="13"/>
      <c r="E113" s="13"/>
      <c r="H113" s="18"/>
    </row>
    <row r="114">
      <c r="B114" s="13"/>
      <c r="C114" s="13"/>
      <c r="D114" s="13"/>
      <c r="E114" s="13"/>
      <c r="H114" s="18"/>
    </row>
    <row r="115">
      <c r="B115" s="13"/>
      <c r="C115" s="13"/>
      <c r="D115" s="13"/>
      <c r="E115" s="13"/>
      <c r="H115" s="18"/>
    </row>
    <row r="116">
      <c r="B116" s="13"/>
      <c r="C116" s="13"/>
      <c r="D116" s="13"/>
      <c r="E116" s="13"/>
      <c r="H116" s="18"/>
    </row>
    <row r="117">
      <c r="B117" s="13"/>
      <c r="C117" s="13"/>
      <c r="D117" s="13"/>
      <c r="E117" s="13"/>
      <c r="H117" s="18"/>
    </row>
    <row r="118">
      <c r="B118" s="13"/>
      <c r="C118" s="13"/>
      <c r="D118" s="13"/>
      <c r="E118" s="13"/>
      <c r="H118" s="18"/>
    </row>
    <row r="119">
      <c r="B119" s="13"/>
      <c r="C119" s="13"/>
      <c r="D119" s="13"/>
      <c r="E119" s="13"/>
      <c r="H119" s="18"/>
    </row>
    <row r="120">
      <c r="B120" s="13"/>
      <c r="C120" s="13"/>
      <c r="D120" s="13"/>
      <c r="E120" s="13"/>
      <c r="H120" s="18"/>
    </row>
    <row r="121">
      <c r="B121" s="13"/>
      <c r="C121" s="13"/>
      <c r="D121" s="13"/>
      <c r="E121" s="13"/>
      <c r="H121" s="18"/>
    </row>
    <row r="122">
      <c r="B122" s="13"/>
      <c r="C122" s="13"/>
      <c r="D122" s="13"/>
      <c r="E122" s="13"/>
      <c r="H122" s="18"/>
    </row>
    <row r="123">
      <c r="B123" s="13"/>
      <c r="C123" s="13"/>
      <c r="D123" s="13"/>
      <c r="E123" s="13"/>
      <c r="H123" s="18"/>
    </row>
    <row r="124">
      <c r="B124" s="13"/>
      <c r="C124" s="13"/>
      <c r="D124" s="13"/>
      <c r="E124" s="13"/>
      <c r="H124" s="18"/>
    </row>
    <row r="125">
      <c r="B125" s="13"/>
      <c r="C125" s="13"/>
      <c r="D125" s="13"/>
      <c r="E125" s="13"/>
      <c r="H125" s="18"/>
    </row>
    <row r="126">
      <c r="B126" s="13"/>
      <c r="C126" s="13"/>
      <c r="D126" s="13"/>
      <c r="E126" s="13"/>
      <c r="H126" s="18"/>
    </row>
    <row r="127">
      <c r="B127" s="13"/>
      <c r="C127" s="13"/>
      <c r="D127" s="13"/>
      <c r="E127" s="13"/>
      <c r="H127" s="18"/>
    </row>
    <row r="128">
      <c r="B128" s="13"/>
      <c r="C128" s="13"/>
      <c r="D128" s="13"/>
      <c r="E128" s="13"/>
      <c r="H128" s="18"/>
    </row>
    <row r="129">
      <c r="B129" s="13"/>
      <c r="C129" s="13"/>
      <c r="D129" s="13"/>
      <c r="E129" s="13"/>
      <c r="H129" s="18"/>
    </row>
    <row r="130">
      <c r="B130" s="13"/>
      <c r="C130" s="13"/>
      <c r="D130" s="13"/>
      <c r="E130" s="13"/>
      <c r="H130" s="18"/>
    </row>
    <row r="131">
      <c r="B131" s="13"/>
      <c r="C131" s="13"/>
      <c r="D131" s="13"/>
      <c r="E131" s="13"/>
      <c r="H131" s="18"/>
    </row>
    <row r="132">
      <c r="B132" s="13"/>
      <c r="C132" s="13"/>
      <c r="D132" s="13"/>
      <c r="E132" s="13"/>
      <c r="H132" s="18"/>
    </row>
    <row r="133">
      <c r="B133" s="13"/>
      <c r="C133" s="13"/>
      <c r="D133" s="13"/>
      <c r="E133" s="13"/>
      <c r="H133" s="18"/>
    </row>
    <row r="134">
      <c r="B134" s="13"/>
      <c r="C134" s="13"/>
      <c r="D134" s="13"/>
      <c r="E134" s="13"/>
      <c r="H134" s="18"/>
    </row>
    <row r="135">
      <c r="B135" s="13"/>
      <c r="C135" s="13"/>
      <c r="D135" s="13"/>
      <c r="E135" s="13"/>
      <c r="H135" s="18"/>
    </row>
    <row r="136">
      <c r="B136" s="13"/>
      <c r="C136" s="13"/>
      <c r="D136" s="13"/>
      <c r="E136" s="13"/>
      <c r="H136" s="18"/>
    </row>
    <row r="137">
      <c r="B137" s="13"/>
      <c r="C137" s="13"/>
      <c r="D137" s="13"/>
      <c r="E137" s="13"/>
      <c r="H137" s="18"/>
    </row>
    <row r="138">
      <c r="B138" s="13"/>
      <c r="C138" s="13"/>
      <c r="D138" s="13"/>
      <c r="E138" s="13"/>
      <c r="H138" s="18"/>
    </row>
    <row r="139">
      <c r="B139" s="13"/>
      <c r="C139" s="13"/>
      <c r="D139" s="13"/>
      <c r="E139" s="13"/>
      <c r="H139" s="18"/>
    </row>
    <row r="140">
      <c r="B140" s="13"/>
      <c r="C140" s="13"/>
      <c r="D140" s="13"/>
      <c r="E140" s="13"/>
      <c r="H140" s="18"/>
    </row>
    <row r="141">
      <c r="B141" s="13"/>
      <c r="C141" s="13"/>
      <c r="D141" s="13"/>
      <c r="E141" s="13"/>
      <c r="H141" s="18"/>
    </row>
    <row r="142">
      <c r="B142" s="13"/>
      <c r="C142" s="13"/>
      <c r="D142" s="13"/>
      <c r="E142" s="13"/>
      <c r="H142" s="18"/>
    </row>
    <row r="143">
      <c r="B143" s="13"/>
      <c r="C143" s="13"/>
      <c r="D143" s="13"/>
      <c r="E143" s="13"/>
      <c r="H143" s="18"/>
    </row>
    <row r="144">
      <c r="B144" s="13"/>
      <c r="C144" s="13"/>
      <c r="D144" s="13"/>
      <c r="E144" s="13"/>
      <c r="H144" s="18"/>
    </row>
    <row r="145">
      <c r="B145" s="13"/>
      <c r="C145" s="13"/>
      <c r="D145" s="13"/>
      <c r="E145" s="13"/>
      <c r="H145" s="18"/>
    </row>
    <row r="146">
      <c r="B146" s="13"/>
      <c r="C146" s="13"/>
      <c r="D146" s="13"/>
      <c r="E146" s="13"/>
      <c r="H146" s="18"/>
    </row>
    <row r="147">
      <c r="B147" s="13"/>
      <c r="C147" s="13"/>
      <c r="D147" s="13"/>
      <c r="E147" s="13"/>
      <c r="H147" s="18"/>
    </row>
    <row r="148">
      <c r="B148" s="13"/>
      <c r="C148" s="13"/>
      <c r="D148" s="13"/>
      <c r="E148" s="13"/>
      <c r="H148" s="18"/>
    </row>
    <row r="149">
      <c r="B149" s="13"/>
      <c r="C149" s="13"/>
      <c r="D149" s="13"/>
      <c r="E149" s="13"/>
      <c r="H149" s="18"/>
    </row>
    <row r="150">
      <c r="B150" s="13"/>
      <c r="C150" s="13"/>
      <c r="D150" s="13"/>
      <c r="E150" s="13"/>
      <c r="H150" s="18"/>
    </row>
    <row r="151">
      <c r="B151" s="13"/>
      <c r="C151" s="13"/>
      <c r="D151" s="13"/>
      <c r="E151" s="13"/>
      <c r="H151" s="18"/>
    </row>
    <row r="152">
      <c r="B152" s="13"/>
      <c r="C152" s="13"/>
      <c r="D152" s="13"/>
      <c r="E152" s="13"/>
      <c r="H152" s="18"/>
    </row>
    <row r="153">
      <c r="B153" s="13"/>
      <c r="C153" s="13"/>
      <c r="D153" s="13"/>
      <c r="E153" s="13"/>
      <c r="H153" s="18"/>
    </row>
    <row r="154">
      <c r="B154" s="13"/>
      <c r="C154" s="13"/>
      <c r="D154" s="13"/>
      <c r="E154" s="13"/>
      <c r="H154" s="18"/>
    </row>
    <row r="155">
      <c r="B155" s="13"/>
      <c r="C155" s="13"/>
      <c r="D155" s="13"/>
      <c r="E155" s="13"/>
      <c r="H155" s="18"/>
    </row>
    <row r="156">
      <c r="B156" s="13"/>
      <c r="C156" s="13"/>
      <c r="D156" s="13"/>
      <c r="E156" s="13"/>
      <c r="H156" s="18"/>
    </row>
    <row r="157">
      <c r="B157" s="13"/>
      <c r="C157" s="13"/>
      <c r="D157" s="13"/>
      <c r="E157" s="13"/>
      <c r="H157" s="18"/>
    </row>
    <row r="158">
      <c r="B158" s="13"/>
      <c r="C158" s="13"/>
      <c r="D158" s="13"/>
      <c r="E158" s="13"/>
      <c r="H158" s="18"/>
    </row>
    <row r="159">
      <c r="B159" s="13"/>
      <c r="C159" s="13"/>
      <c r="D159" s="13"/>
      <c r="E159" s="13"/>
      <c r="H159" s="18"/>
    </row>
    <row r="160">
      <c r="B160" s="13"/>
      <c r="C160" s="13"/>
      <c r="D160" s="13"/>
      <c r="E160" s="13"/>
      <c r="H160" s="18"/>
    </row>
    <row r="161">
      <c r="B161" s="13"/>
      <c r="C161" s="13"/>
      <c r="D161" s="13"/>
      <c r="E161" s="13"/>
      <c r="H161" s="18"/>
    </row>
    <row r="162">
      <c r="B162" s="13"/>
      <c r="C162" s="13"/>
      <c r="D162" s="13"/>
      <c r="E162" s="13"/>
      <c r="H162" s="18"/>
    </row>
    <row r="163">
      <c r="B163" s="13"/>
      <c r="C163" s="13"/>
      <c r="D163" s="13"/>
      <c r="E163" s="13"/>
      <c r="H163" s="18"/>
    </row>
    <row r="164">
      <c r="B164" s="13"/>
      <c r="C164" s="13"/>
      <c r="D164" s="13"/>
      <c r="E164" s="13"/>
      <c r="H164" s="18"/>
    </row>
    <row r="165">
      <c r="B165" s="13"/>
      <c r="C165" s="13"/>
      <c r="D165" s="13"/>
      <c r="E165" s="13"/>
      <c r="H165" s="18"/>
    </row>
    <row r="166">
      <c r="B166" s="13"/>
      <c r="C166" s="13"/>
      <c r="D166" s="13"/>
      <c r="E166" s="13"/>
      <c r="H166" s="18"/>
    </row>
    <row r="167">
      <c r="B167" s="13"/>
      <c r="C167" s="13"/>
      <c r="D167" s="13"/>
      <c r="E167" s="13"/>
      <c r="H167" s="18"/>
    </row>
    <row r="168">
      <c r="B168" s="13"/>
      <c r="C168" s="13"/>
      <c r="D168" s="13"/>
      <c r="E168" s="13"/>
      <c r="H168" s="18"/>
    </row>
    <row r="169">
      <c r="B169" s="13"/>
      <c r="C169" s="13"/>
      <c r="D169" s="13"/>
      <c r="E169" s="13"/>
      <c r="H169" s="18"/>
    </row>
    <row r="170">
      <c r="B170" s="13"/>
      <c r="C170" s="13"/>
      <c r="D170" s="13"/>
      <c r="E170" s="13"/>
      <c r="H170" s="18"/>
    </row>
    <row r="171">
      <c r="B171" s="13"/>
      <c r="C171" s="13"/>
      <c r="D171" s="13"/>
      <c r="E171" s="13"/>
      <c r="H171" s="18"/>
    </row>
    <row r="172">
      <c r="B172" s="13"/>
      <c r="C172" s="13"/>
      <c r="D172" s="13"/>
      <c r="E172" s="13"/>
      <c r="H172" s="18"/>
    </row>
    <row r="173">
      <c r="B173" s="13"/>
      <c r="C173" s="13"/>
      <c r="D173" s="13"/>
      <c r="E173" s="13"/>
      <c r="H173" s="18"/>
    </row>
    <row r="174">
      <c r="B174" s="13"/>
      <c r="C174" s="13"/>
      <c r="D174" s="13"/>
      <c r="E174" s="13"/>
      <c r="H174" s="18"/>
    </row>
    <row r="175">
      <c r="B175" s="13"/>
      <c r="C175" s="13"/>
      <c r="D175" s="13"/>
      <c r="E175" s="13"/>
      <c r="H175" s="18"/>
    </row>
    <row r="176">
      <c r="B176" s="13"/>
      <c r="C176" s="13"/>
      <c r="D176" s="13"/>
      <c r="E176" s="13"/>
      <c r="H176" s="18"/>
    </row>
    <row r="177">
      <c r="B177" s="13"/>
      <c r="C177" s="13"/>
      <c r="D177" s="13"/>
      <c r="E177" s="13"/>
      <c r="H177" s="18"/>
    </row>
    <row r="178">
      <c r="B178" s="13"/>
      <c r="C178" s="13"/>
      <c r="D178" s="13"/>
      <c r="E178" s="13"/>
      <c r="H178" s="18"/>
    </row>
    <row r="179">
      <c r="B179" s="13"/>
      <c r="C179" s="13"/>
      <c r="D179" s="13"/>
      <c r="E179" s="13"/>
      <c r="H179" s="18"/>
    </row>
    <row r="180">
      <c r="B180" s="13"/>
      <c r="C180" s="13"/>
      <c r="D180" s="13"/>
      <c r="E180" s="13"/>
      <c r="H180" s="18"/>
    </row>
    <row r="181">
      <c r="B181" s="13"/>
      <c r="C181" s="13"/>
      <c r="D181" s="13"/>
      <c r="E181" s="13"/>
      <c r="H181" s="18"/>
    </row>
    <row r="182">
      <c r="B182" s="13"/>
      <c r="C182" s="13"/>
      <c r="D182" s="13"/>
      <c r="E182" s="13"/>
      <c r="H182" s="18"/>
    </row>
    <row r="183">
      <c r="B183" s="13"/>
      <c r="C183" s="13"/>
      <c r="D183" s="13"/>
      <c r="E183" s="13"/>
      <c r="H183" s="18"/>
    </row>
    <row r="184">
      <c r="B184" s="13"/>
      <c r="C184" s="13"/>
      <c r="D184" s="13"/>
      <c r="E184" s="13"/>
      <c r="H184" s="18"/>
    </row>
    <row r="185">
      <c r="B185" s="13"/>
      <c r="C185" s="13"/>
      <c r="D185" s="13"/>
      <c r="E185" s="13"/>
      <c r="H185" s="18"/>
    </row>
    <row r="186">
      <c r="B186" s="13"/>
      <c r="C186" s="13"/>
      <c r="D186" s="13"/>
      <c r="E186" s="13"/>
      <c r="H186" s="18"/>
    </row>
    <row r="187">
      <c r="B187" s="13"/>
      <c r="C187" s="13"/>
      <c r="D187" s="13"/>
      <c r="E187" s="13"/>
      <c r="H187" s="18"/>
    </row>
    <row r="188">
      <c r="B188" s="13"/>
      <c r="C188" s="13"/>
      <c r="D188" s="13"/>
      <c r="E188" s="13"/>
      <c r="H188" s="18"/>
    </row>
    <row r="189">
      <c r="B189" s="13"/>
      <c r="C189" s="13"/>
      <c r="D189" s="13"/>
      <c r="E189" s="13"/>
      <c r="H189" s="18"/>
    </row>
    <row r="190">
      <c r="B190" s="13"/>
      <c r="C190" s="13"/>
      <c r="D190" s="13"/>
      <c r="E190" s="13"/>
      <c r="H190" s="18"/>
    </row>
    <row r="191">
      <c r="B191" s="13"/>
      <c r="C191" s="13"/>
      <c r="D191" s="13"/>
      <c r="E191" s="13"/>
      <c r="H191" s="18"/>
    </row>
    <row r="192">
      <c r="B192" s="13"/>
      <c r="C192" s="13"/>
      <c r="D192" s="13"/>
      <c r="E192" s="13"/>
      <c r="H192" s="18"/>
    </row>
    <row r="193">
      <c r="B193" s="13"/>
      <c r="C193" s="13"/>
      <c r="D193" s="13"/>
      <c r="E193" s="13"/>
      <c r="H193" s="18"/>
    </row>
    <row r="194">
      <c r="B194" s="13"/>
      <c r="C194" s="13"/>
      <c r="D194" s="13"/>
      <c r="E194" s="13"/>
      <c r="H194" s="18"/>
    </row>
    <row r="195">
      <c r="B195" s="13"/>
      <c r="C195" s="13"/>
      <c r="D195" s="13"/>
      <c r="E195" s="13"/>
      <c r="H195" s="18"/>
    </row>
    <row r="196">
      <c r="B196" s="13"/>
      <c r="C196" s="13"/>
      <c r="D196" s="13"/>
      <c r="E196" s="13"/>
      <c r="H196" s="18"/>
    </row>
    <row r="197">
      <c r="B197" s="13"/>
      <c r="C197" s="13"/>
      <c r="D197" s="13"/>
      <c r="E197" s="13"/>
      <c r="H197" s="18"/>
    </row>
    <row r="198">
      <c r="B198" s="13"/>
      <c r="C198" s="13"/>
      <c r="D198" s="13"/>
      <c r="E198" s="13"/>
      <c r="H198" s="18"/>
    </row>
    <row r="199">
      <c r="B199" s="13"/>
      <c r="C199" s="13"/>
      <c r="D199" s="13"/>
      <c r="E199" s="13"/>
      <c r="H199" s="18"/>
    </row>
    <row r="200">
      <c r="B200" s="13"/>
      <c r="C200" s="13"/>
      <c r="D200" s="13"/>
      <c r="E200" s="13"/>
      <c r="H200" s="18"/>
    </row>
    <row r="201">
      <c r="B201" s="13"/>
      <c r="C201" s="13"/>
      <c r="D201" s="13"/>
      <c r="E201" s="13"/>
      <c r="H201" s="18"/>
    </row>
    <row r="202">
      <c r="B202" s="13"/>
      <c r="C202" s="13"/>
      <c r="D202" s="13"/>
      <c r="E202" s="13"/>
      <c r="H202" s="18"/>
    </row>
    <row r="203">
      <c r="B203" s="13"/>
      <c r="C203" s="13"/>
      <c r="D203" s="13"/>
      <c r="E203" s="13"/>
      <c r="H203" s="18"/>
    </row>
    <row r="204">
      <c r="B204" s="13"/>
      <c r="C204" s="13"/>
      <c r="D204" s="13"/>
      <c r="E204" s="13"/>
      <c r="H204" s="18"/>
    </row>
    <row r="205">
      <c r="B205" s="13"/>
      <c r="C205" s="13"/>
      <c r="D205" s="13"/>
      <c r="E205" s="13"/>
      <c r="H205" s="18"/>
    </row>
    <row r="206">
      <c r="B206" s="13"/>
      <c r="C206" s="13"/>
      <c r="D206" s="13"/>
      <c r="E206" s="13"/>
      <c r="H206" s="18"/>
    </row>
    <row r="207">
      <c r="B207" s="13"/>
      <c r="C207" s="13"/>
      <c r="D207" s="13"/>
      <c r="E207" s="13"/>
      <c r="H207" s="18"/>
    </row>
    <row r="208">
      <c r="B208" s="13"/>
      <c r="C208" s="13"/>
      <c r="D208" s="13"/>
      <c r="E208" s="13"/>
      <c r="H208" s="18"/>
    </row>
    <row r="209">
      <c r="B209" s="13"/>
      <c r="C209" s="13"/>
      <c r="D209" s="13"/>
      <c r="E209" s="13"/>
      <c r="H209" s="18"/>
    </row>
    <row r="210">
      <c r="B210" s="13"/>
      <c r="C210" s="13"/>
      <c r="D210" s="13"/>
      <c r="E210" s="13"/>
      <c r="H210" s="18"/>
    </row>
    <row r="211">
      <c r="B211" s="13"/>
      <c r="C211" s="13"/>
      <c r="D211" s="13"/>
      <c r="E211" s="13"/>
      <c r="H211" s="18"/>
    </row>
    <row r="212">
      <c r="B212" s="13"/>
      <c r="C212" s="13"/>
      <c r="D212" s="13"/>
      <c r="E212" s="13"/>
      <c r="H212" s="18"/>
    </row>
    <row r="213">
      <c r="B213" s="13"/>
      <c r="C213" s="13"/>
      <c r="D213" s="13"/>
      <c r="E213" s="13"/>
      <c r="H213" s="18"/>
    </row>
    <row r="214">
      <c r="B214" s="13"/>
      <c r="C214" s="13"/>
      <c r="D214" s="13"/>
      <c r="E214" s="13"/>
      <c r="H214" s="18"/>
    </row>
    <row r="215">
      <c r="B215" s="13"/>
      <c r="C215" s="13"/>
      <c r="D215" s="13"/>
      <c r="E215" s="13"/>
      <c r="H215" s="18"/>
    </row>
    <row r="216">
      <c r="B216" s="13"/>
      <c r="C216" s="13"/>
      <c r="D216" s="13"/>
      <c r="E216" s="13"/>
      <c r="H216" s="18"/>
    </row>
    <row r="217">
      <c r="B217" s="13"/>
      <c r="C217" s="13"/>
      <c r="D217" s="13"/>
      <c r="E217" s="13"/>
      <c r="H217" s="18"/>
    </row>
    <row r="218">
      <c r="B218" s="13"/>
      <c r="C218" s="13"/>
      <c r="D218" s="13"/>
      <c r="E218" s="13"/>
      <c r="H218" s="18"/>
    </row>
    <row r="219">
      <c r="B219" s="13"/>
      <c r="C219" s="13"/>
      <c r="D219" s="13"/>
      <c r="E219" s="13"/>
      <c r="H219" s="18"/>
    </row>
    <row r="220">
      <c r="B220" s="13"/>
      <c r="C220" s="13"/>
      <c r="D220" s="13"/>
      <c r="E220" s="13"/>
      <c r="H220" s="18"/>
    </row>
    <row r="221">
      <c r="B221" s="13"/>
      <c r="C221" s="13"/>
      <c r="D221" s="13"/>
      <c r="E221" s="13"/>
      <c r="H221" s="18"/>
    </row>
    <row r="222">
      <c r="B222" s="13"/>
      <c r="C222" s="13"/>
      <c r="D222" s="13"/>
      <c r="E222" s="13"/>
      <c r="H222" s="18"/>
    </row>
    <row r="223">
      <c r="B223" s="13"/>
      <c r="C223" s="13"/>
      <c r="D223" s="13"/>
      <c r="E223" s="13"/>
      <c r="H223" s="18"/>
    </row>
    <row r="224">
      <c r="B224" s="13"/>
      <c r="C224" s="13"/>
      <c r="D224" s="13"/>
      <c r="E224" s="13"/>
      <c r="H224" s="18"/>
    </row>
    <row r="225">
      <c r="B225" s="13"/>
      <c r="C225" s="13"/>
      <c r="D225" s="13"/>
      <c r="E225" s="13"/>
      <c r="H225" s="18"/>
    </row>
    <row r="226">
      <c r="B226" s="13"/>
      <c r="C226" s="13"/>
      <c r="D226" s="13"/>
      <c r="E226" s="13"/>
      <c r="H226" s="18"/>
    </row>
    <row r="227">
      <c r="B227" s="13"/>
      <c r="C227" s="13"/>
      <c r="D227" s="13"/>
      <c r="E227" s="13"/>
      <c r="H227" s="18"/>
    </row>
    <row r="228">
      <c r="B228" s="13"/>
      <c r="C228" s="13"/>
      <c r="D228" s="13"/>
      <c r="E228" s="13"/>
      <c r="H228" s="18"/>
    </row>
    <row r="229">
      <c r="B229" s="13"/>
      <c r="C229" s="13"/>
      <c r="D229" s="13"/>
      <c r="E229" s="13"/>
      <c r="H229" s="18"/>
    </row>
    <row r="230">
      <c r="B230" s="13"/>
      <c r="C230" s="13"/>
      <c r="D230" s="13"/>
      <c r="E230" s="13"/>
      <c r="H230" s="18"/>
    </row>
    <row r="231">
      <c r="B231" s="13"/>
      <c r="C231" s="13"/>
      <c r="D231" s="13"/>
      <c r="E231" s="13"/>
      <c r="H231" s="18"/>
    </row>
    <row r="232">
      <c r="B232" s="13"/>
      <c r="C232" s="13"/>
      <c r="D232" s="13"/>
      <c r="E232" s="13"/>
      <c r="H232" s="18"/>
    </row>
    <row r="233">
      <c r="B233" s="13"/>
      <c r="C233" s="13"/>
      <c r="D233" s="13"/>
      <c r="E233" s="13"/>
      <c r="H233" s="18"/>
    </row>
    <row r="234">
      <c r="B234" s="13"/>
      <c r="C234" s="13"/>
      <c r="D234" s="13"/>
      <c r="E234" s="13"/>
      <c r="H234" s="18"/>
    </row>
    <row r="235">
      <c r="B235" s="13"/>
      <c r="C235" s="13"/>
      <c r="D235" s="13"/>
      <c r="E235" s="13"/>
      <c r="H235" s="18"/>
    </row>
    <row r="236">
      <c r="B236" s="13"/>
      <c r="C236" s="13"/>
      <c r="D236" s="13"/>
      <c r="E236" s="13"/>
      <c r="H236" s="18"/>
    </row>
    <row r="237">
      <c r="B237" s="13"/>
      <c r="C237" s="13"/>
      <c r="D237" s="13"/>
      <c r="E237" s="13"/>
      <c r="H237" s="18"/>
    </row>
    <row r="238">
      <c r="B238" s="13"/>
      <c r="C238" s="13"/>
      <c r="D238" s="13"/>
      <c r="E238" s="13"/>
      <c r="H238" s="18"/>
    </row>
    <row r="239">
      <c r="B239" s="13"/>
      <c r="C239" s="13"/>
      <c r="D239" s="13"/>
      <c r="E239" s="13"/>
      <c r="H239" s="18"/>
    </row>
    <row r="240">
      <c r="B240" s="13"/>
      <c r="C240" s="13"/>
      <c r="D240" s="13"/>
      <c r="E240" s="13"/>
      <c r="H240" s="18"/>
    </row>
    <row r="241">
      <c r="B241" s="13"/>
      <c r="C241" s="13"/>
      <c r="D241" s="13"/>
      <c r="E241" s="13"/>
      <c r="H241" s="18"/>
    </row>
    <row r="242">
      <c r="B242" s="13"/>
      <c r="C242" s="13"/>
      <c r="D242" s="13"/>
      <c r="E242" s="13"/>
      <c r="H242" s="18"/>
    </row>
    <row r="243">
      <c r="B243" s="13"/>
      <c r="C243" s="13"/>
      <c r="D243" s="13"/>
      <c r="E243" s="13"/>
      <c r="H243" s="18"/>
    </row>
    <row r="244">
      <c r="B244" s="13"/>
      <c r="C244" s="13"/>
      <c r="D244" s="13"/>
      <c r="E244" s="13"/>
      <c r="H244" s="18"/>
    </row>
    <row r="245">
      <c r="B245" s="13"/>
      <c r="C245" s="13"/>
      <c r="D245" s="13"/>
      <c r="E245" s="13"/>
      <c r="H245" s="18"/>
    </row>
    <row r="246">
      <c r="B246" s="13"/>
      <c r="C246" s="13"/>
      <c r="D246" s="13"/>
      <c r="E246" s="13"/>
      <c r="H246" s="18"/>
    </row>
    <row r="247">
      <c r="B247" s="13"/>
      <c r="C247" s="13"/>
      <c r="D247" s="13"/>
      <c r="E247" s="13"/>
      <c r="H247" s="18"/>
    </row>
    <row r="248">
      <c r="B248" s="13"/>
      <c r="C248" s="13"/>
      <c r="D248" s="13"/>
      <c r="E248" s="13"/>
      <c r="H248" s="18"/>
    </row>
    <row r="249">
      <c r="B249" s="13"/>
      <c r="C249" s="13"/>
      <c r="D249" s="13"/>
      <c r="E249" s="13"/>
      <c r="H249" s="18"/>
    </row>
    <row r="250">
      <c r="B250" s="13"/>
      <c r="C250" s="13"/>
      <c r="D250" s="13"/>
      <c r="E250" s="13"/>
      <c r="H250" s="18"/>
    </row>
    <row r="251">
      <c r="B251" s="13"/>
      <c r="C251" s="13"/>
      <c r="D251" s="13"/>
      <c r="E251" s="13"/>
      <c r="H251" s="18"/>
    </row>
    <row r="252">
      <c r="B252" s="13"/>
      <c r="C252" s="13"/>
      <c r="D252" s="13"/>
      <c r="E252" s="13"/>
      <c r="H252" s="18"/>
    </row>
    <row r="253">
      <c r="B253" s="13"/>
      <c r="C253" s="13"/>
      <c r="D253" s="13"/>
      <c r="E253" s="13"/>
      <c r="H253" s="18"/>
    </row>
    <row r="254">
      <c r="B254" s="13"/>
      <c r="C254" s="13"/>
      <c r="D254" s="13"/>
      <c r="E254" s="13"/>
      <c r="H254" s="18"/>
    </row>
    <row r="255">
      <c r="B255" s="13"/>
      <c r="C255" s="13"/>
      <c r="D255" s="13"/>
      <c r="E255" s="13"/>
      <c r="H255" s="18"/>
    </row>
    <row r="256">
      <c r="B256" s="13"/>
      <c r="C256" s="13"/>
      <c r="D256" s="13"/>
      <c r="E256" s="13"/>
      <c r="H256" s="18"/>
    </row>
    <row r="257">
      <c r="B257" s="13"/>
      <c r="C257" s="13"/>
      <c r="D257" s="13"/>
      <c r="E257" s="13"/>
      <c r="H257" s="18"/>
    </row>
    <row r="258">
      <c r="B258" s="13"/>
      <c r="C258" s="13"/>
      <c r="D258" s="13"/>
      <c r="E258" s="13"/>
      <c r="H258" s="18"/>
    </row>
    <row r="259">
      <c r="B259" s="13"/>
      <c r="C259" s="13"/>
      <c r="D259" s="13"/>
      <c r="E259" s="13"/>
      <c r="H259" s="18"/>
    </row>
    <row r="260">
      <c r="B260" s="13"/>
      <c r="C260" s="13"/>
      <c r="D260" s="13"/>
      <c r="E260" s="13"/>
      <c r="H260" s="18"/>
    </row>
    <row r="261">
      <c r="B261" s="13"/>
      <c r="C261" s="13"/>
      <c r="D261" s="13"/>
      <c r="E261" s="13"/>
      <c r="H261" s="18"/>
    </row>
    <row r="262">
      <c r="B262" s="13"/>
      <c r="C262" s="13"/>
      <c r="D262" s="13"/>
      <c r="E262" s="13"/>
      <c r="H262" s="18"/>
    </row>
    <row r="263">
      <c r="B263" s="13"/>
      <c r="C263" s="13"/>
      <c r="D263" s="13"/>
      <c r="E263" s="13"/>
      <c r="H263" s="18"/>
    </row>
    <row r="264">
      <c r="B264" s="13"/>
      <c r="C264" s="13"/>
      <c r="D264" s="13"/>
      <c r="E264" s="13"/>
      <c r="H264" s="18"/>
    </row>
    <row r="265">
      <c r="B265" s="13"/>
      <c r="C265" s="13"/>
      <c r="D265" s="13"/>
      <c r="E265" s="13"/>
      <c r="H265" s="18"/>
    </row>
    <row r="266">
      <c r="B266" s="13"/>
      <c r="C266" s="13"/>
      <c r="D266" s="13"/>
      <c r="E266" s="13"/>
      <c r="H266" s="18"/>
    </row>
    <row r="267">
      <c r="B267" s="13"/>
      <c r="C267" s="13"/>
      <c r="D267" s="13"/>
      <c r="E267" s="13"/>
      <c r="H267" s="18"/>
    </row>
    <row r="268">
      <c r="B268" s="13"/>
      <c r="C268" s="13"/>
      <c r="D268" s="13"/>
      <c r="E268" s="13"/>
      <c r="H268" s="18"/>
    </row>
    <row r="269">
      <c r="B269" s="13"/>
      <c r="C269" s="13"/>
      <c r="D269" s="13"/>
      <c r="E269" s="13"/>
      <c r="H269" s="18"/>
    </row>
    <row r="270">
      <c r="B270" s="13"/>
      <c r="C270" s="13"/>
      <c r="D270" s="13"/>
      <c r="E270" s="13"/>
      <c r="H270" s="18"/>
    </row>
    <row r="271">
      <c r="B271" s="13"/>
      <c r="C271" s="13"/>
      <c r="D271" s="13"/>
      <c r="E271" s="13"/>
      <c r="H271" s="18"/>
    </row>
    <row r="272">
      <c r="B272" s="13"/>
      <c r="C272" s="13"/>
      <c r="D272" s="13"/>
      <c r="E272" s="13"/>
      <c r="H272" s="18"/>
    </row>
    <row r="273">
      <c r="B273" s="13"/>
      <c r="C273" s="13"/>
      <c r="D273" s="13"/>
      <c r="E273" s="13"/>
      <c r="H273" s="18"/>
    </row>
    <row r="274">
      <c r="B274" s="13"/>
      <c r="C274" s="13"/>
      <c r="D274" s="13"/>
      <c r="E274" s="13"/>
      <c r="H274" s="18"/>
    </row>
    <row r="275">
      <c r="B275" s="13"/>
      <c r="C275" s="13"/>
      <c r="D275" s="13"/>
      <c r="E275" s="13"/>
      <c r="H275" s="18"/>
    </row>
    <row r="276">
      <c r="B276" s="13"/>
      <c r="C276" s="13"/>
      <c r="D276" s="13"/>
      <c r="E276" s="13"/>
      <c r="H276" s="18"/>
    </row>
    <row r="277">
      <c r="B277" s="13"/>
      <c r="C277" s="13"/>
      <c r="D277" s="13"/>
      <c r="E277" s="13"/>
      <c r="H277" s="18"/>
    </row>
    <row r="278">
      <c r="B278" s="13"/>
      <c r="C278" s="13"/>
      <c r="D278" s="13"/>
      <c r="E278" s="13"/>
      <c r="H278" s="18"/>
    </row>
    <row r="279">
      <c r="B279" s="13"/>
      <c r="C279" s="13"/>
      <c r="D279" s="13"/>
      <c r="E279" s="13"/>
      <c r="H279" s="18"/>
    </row>
    <row r="280">
      <c r="B280" s="13"/>
      <c r="C280" s="13"/>
      <c r="D280" s="13"/>
      <c r="E280" s="13"/>
      <c r="H280" s="18"/>
    </row>
    <row r="281">
      <c r="B281" s="13"/>
      <c r="C281" s="13"/>
      <c r="D281" s="13"/>
      <c r="E281" s="13"/>
      <c r="H281" s="18"/>
    </row>
    <row r="282">
      <c r="B282" s="13"/>
      <c r="C282" s="13"/>
      <c r="D282" s="13"/>
      <c r="E282" s="13"/>
      <c r="H282" s="18"/>
    </row>
    <row r="283">
      <c r="B283" s="13"/>
      <c r="C283" s="13"/>
      <c r="D283" s="13"/>
      <c r="E283" s="13"/>
      <c r="H283" s="18"/>
    </row>
    <row r="284">
      <c r="B284" s="13"/>
      <c r="C284" s="13"/>
      <c r="D284" s="13"/>
      <c r="E284" s="13"/>
      <c r="H284" s="18"/>
    </row>
    <row r="285">
      <c r="B285" s="13"/>
      <c r="C285" s="13"/>
      <c r="D285" s="13"/>
      <c r="E285" s="13"/>
      <c r="H285" s="18"/>
    </row>
    <row r="286">
      <c r="B286" s="13"/>
      <c r="C286" s="13"/>
      <c r="D286" s="13"/>
      <c r="E286" s="13"/>
      <c r="H286" s="18"/>
    </row>
    <row r="287">
      <c r="B287" s="13"/>
      <c r="C287" s="13"/>
      <c r="D287" s="13"/>
      <c r="E287" s="13"/>
      <c r="H287" s="18"/>
    </row>
    <row r="288">
      <c r="B288" s="13"/>
      <c r="C288" s="13"/>
      <c r="D288" s="13"/>
      <c r="E288" s="13"/>
      <c r="H288" s="18"/>
    </row>
    <row r="289">
      <c r="B289" s="13"/>
      <c r="C289" s="13"/>
      <c r="D289" s="13"/>
      <c r="E289" s="13"/>
      <c r="H289" s="18"/>
    </row>
    <row r="290">
      <c r="B290" s="13"/>
      <c r="C290" s="13"/>
      <c r="D290" s="13"/>
      <c r="E290" s="13"/>
      <c r="H290" s="18"/>
    </row>
    <row r="291">
      <c r="B291" s="13"/>
      <c r="C291" s="13"/>
      <c r="D291" s="13"/>
      <c r="E291" s="13"/>
      <c r="H291" s="18"/>
    </row>
    <row r="292">
      <c r="B292" s="13"/>
      <c r="C292" s="13"/>
      <c r="D292" s="13"/>
      <c r="E292" s="13"/>
      <c r="H292" s="18"/>
    </row>
    <row r="293">
      <c r="B293" s="13"/>
      <c r="C293" s="13"/>
      <c r="D293" s="13"/>
      <c r="E293" s="13"/>
      <c r="H293" s="18"/>
    </row>
    <row r="294">
      <c r="B294" s="13"/>
      <c r="C294" s="13"/>
      <c r="D294" s="13"/>
      <c r="E294" s="13"/>
      <c r="H294" s="18"/>
    </row>
    <row r="295">
      <c r="B295" s="13"/>
      <c r="C295" s="13"/>
      <c r="D295" s="13"/>
      <c r="E295" s="13"/>
      <c r="H295" s="18"/>
    </row>
    <row r="296">
      <c r="B296" s="13"/>
      <c r="C296" s="13"/>
      <c r="D296" s="13"/>
      <c r="E296" s="13"/>
      <c r="H296" s="18"/>
    </row>
    <row r="297">
      <c r="B297" s="13"/>
      <c r="C297" s="13"/>
      <c r="D297" s="13"/>
      <c r="E297" s="13"/>
      <c r="H297" s="18"/>
    </row>
    <row r="298">
      <c r="B298" s="13"/>
      <c r="C298" s="13"/>
      <c r="D298" s="13"/>
      <c r="E298" s="13"/>
      <c r="H298" s="18"/>
    </row>
    <row r="299">
      <c r="B299" s="13"/>
      <c r="C299" s="13"/>
      <c r="D299" s="13"/>
      <c r="E299" s="13"/>
      <c r="H299" s="18"/>
    </row>
    <row r="300">
      <c r="B300" s="13"/>
      <c r="C300" s="13"/>
      <c r="D300" s="13"/>
      <c r="E300" s="13"/>
      <c r="H300" s="18"/>
    </row>
    <row r="301">
      <c r="B301" s="13"/>
      <c r="C301" s="13"/>
      <c r="D301" s="13"/>
      <c r="E301" s="13"/>
      <c r="H301" s="18"/>
    </row>
    <row r="302">
      <c r="B302" s="13"/>
      <c r="C302" s="13"/>
      <c r="D302" s="13"/>
      <c r="E302" s="13"/>
      <c r="H302" s="18"/>
    </row>
    <row r="303">
      <c r="B303" s="13"/>
      <c r="C303" s="13"/>
      <c r="D303" s="13"/>
      <c r="E303" s="13"/>
      <c r="H303" s="18"/>
    </row>
    <row r="304">
      <c r="B304" s="13"/>
      <c r="C304" s="13"/>
      <c r="D304" s="13"/>
      <c r="E304" s="13"/>
      <c r="H304" s="18"/>
    </row>
    <row r="305">
      <c r="B305" s="13"/>
      <c r="C305" s="13"/>
      <c r="D305" s="13"/>
      <c r="E305" s="13"/>
      <c r="H305" s="18"/>
    </row>
    <row r="306">
      <c r="B306" s="13"/>
      <c r="C306" s="13"/>
      <c r="D306" s="13"/>
      <c r="E306" s="13"/>
      <c r="H306" s="18"/>
    </row>
    <row r="307">
      <c r="B307" s="13"/>
      <c r="C307" s="13"/>
      <c r="D307" s="13"/>
      <c r="E307" s="13"/>
      <c r="H307" s="18"/>
    </row>
    <row r="308">
      <c r="B308" s="13"/>
      <c r="C308" s="13"/>
      <c r="D308" s="13"/>
      <c r="E308" s="13"/>
      <c r="H308" s="18"/>
    </row>
    <row r="309">
      <c r="B309" s="13"/>
      <c r="C309" s="13"/>
      <c r="D309" s="13"/>
      <c r="E309" s="13"/>
      <c r="H309" s="18"/>
    </row>
    <row r="310">
      <c r="B310" s="13"/>
      <c r="C310" s="13"/>
      <c r="D310" s="13"/>
      <c r="E310" s="13"/>
      <c r="H310" s="18"/>
    </row>
    <row r="311">
      <c r="B311" s="13"/>
      <c r="C311" s="13"/>
      <c r="D311" s="13"/>
      <c r="E311" s="13"/>
      <c r="H311" s="18"/>
    </row>
    <row r="312">
      <c r="B312" s="13"/>
      <c r="C312" s="13"/>
      <c r="D312" s="13"/>
      <c r="E312" s="13"/>
      <c r="H312" s="18"/>
    </row>
    <row r="313">
      <c r="B313" s="13"/>
      <c r="C313" s="13"/>
      <c r="D313" s="13"/>
      <c r="E313" s="13"/>
      <c r="H313" s="18"/>
    </row>
    <row r="314">
      <c r="B314" s="13"/>
      <c r="C314" s="13"/>
      <c r="D314" s="13"/>
      <c r="E314" s="13"/>
      <c r="H314" s="18"/>
    </row>
    <row r="315">
      <c r="B315" s="13"/>
      <c r="C315" s="13"/>
      <c r="D315" s="13"/>
      <c r="E315" s="13"/>
      <c r="H315" s="18"/>
    </row>
    <row r="316">
      <c r="B316" s="13"/>
      <c r="C316" s="13"/>
      <c r="D316" s="13"/>
      <c r="E316" s="13"/>
      <c r="H316" s="18"/>
    </row>
    <row r="317">
      <c r="B317" s="13"/>
      <c r="C317" s="13"/>
      <c r="D317" s="13"/>
      <c r="E317" s="13"/>
      <c r="H317" s="18"/>
    </row>
    <row r="318">
      <c r="B318" s="13"/>
      <c r="C318" s="13"/>
      <c r="D318" s="13"/>
      <c r="E318" s="13"/>
      <c r="H318" s="18"/>
    </row>
    <row r="319">
      <c r="B319" s="13"/>
      <c r="C319" s="13"/>
      <c r="D319" s="13"/>
      <c r="E319" s="13"/>
      <c r="H319" s="18"/>
    </row>
    <row r="320">
      <c r="B320" s="13"/>
      <c r="C320" s="13"/>
      <c r="D320" s="13"/>
      <c r="E320" s="13"/>
      <c r="H320" s="18"/>
    </row>
    <row r="321">
      <c r="B321" s="13"/>
      <c r="C321" s="13"/>
      <c r="D321" s="13"/>
      <c r="E321" s="13"/>
      <c r="H321" s="18"/>
    </row>
    <row r="322">
      <c r="B322" s="13"/>
      <c r="C322" s="13"/>
      <c r="D322" s="13"/>
      <c r="E322" s="13"/>
      <c r="H322" s="18"/>
    </row>
    <row r="323">
      <c r="B323" s="13"/>
      <c r="C323" s="13"/>
      <c r="D323" s="13"/>
      <c r="E323" s="13"/>
      <c r="H323" s="18"/>
    </row>
    <row r="324">
      <c r="B324" s="13"/>
      <c r="C324" s="13"/>
      <c r="D324" s="13"/>
      <c r="E324" s="13"/>
      <c r="H324" s="18"/>
    </row>
    <row r="325">
      <c r="B325" s="13"/>
      <c r="C325" s="13"/>
      <c r="D325" s="13"/>
      <c r="E325" s="13"/>
      <c r="H325" s="18"/>
    </row>
    <row r="326">
      <c r="B326" s="13"/>
      <c r="C326" s="13"/>
      <c r="D326" s="13"/>
      <c r="E326" s="13"/>
      <c r="H326" s="18"/>
    </row>
    <row r="327">
      <c r="B327" s="13"/>
      <c r="C327" s="13"/>
      <c r="D327" s="13"/>
      <c r="E327" s="13"/>
      <c r="H327" s="18"/>
    </row>
    <row r="328">
      <c r="B328" s="13"/>
      <c r="C328" s="13"/>
      <c r="D328" s="13"/>
      <c r="E328" s="13"/>
      <c r="H328" s="18"/>
    </row>
    <row r="329">
      <c r="B329" s="13"/>
      <c r="C329" s="13"/>
      <c r="D329" s="13"/>
      <c r="E329" s="13"/>
      <c r="H329" s="18"/>
    </row>
    <row r="330">
      <c r="B330" s="13"/>
      <c r="C330" s="13"/>
      <c r="D330" s="13"/>
      <c r="E330" s="13"/>
      <c r="H330" s="18"/>
    </row>
    <row r="331">
      <c r="B331" s="13"/>
      <c r="C331" s="13"/>
      <c r="D331" s="13"/>
      <c r="E331" s="13"/>
      <c r="H331" s="18"/>
    </row>
    <row r="332">
      <c r="B332" s="13"/>
      <c r="C332" s="13"/>
      <c r="D332" s="13"/>
      <c r="E332" s="13"/>
      <c r="H332" s="18"/>
    </row>
    <row r="333">
      <c r="B333" s="13"/>
      <c r="C333" s="13"/>
      <c r="D333" s="13"/>
      <c r="E333" s="13"/>
      <c r="H333" s="18"/>
    </row>
    <row r="334">
      <c r="B334" s="13"/>
      <c r="C334" s="13"/>
      <c r="D334" s="13"/>
      <c r="E334" s="13"/>
      <c r="H334" s="18"/>
    </row>
    <row r="335">
      <c r="B335" s="13"/>
      <c r="C335" s="13"/>
      <c r="D335" s="13"/>
      <c r="E335" s="13"/>
      <c r="H335" s="18"/>
    </row>
    <row r="336">
      <c r="B336" s="13"/>
      <c r="C336" s="13"/>
      <c r="D336" s="13"/>
      <c r="E336" s="13"/>
      <c r="H336" s="18"/>
    </row>
    <row r="337">
      <c r="B337" s="13"/>
      <c r="C337" s="13"/>
      <c r="D337" s="13"/>
      <c r="E337" s="13"/>
      <c r="H337" s="18"/>
    </row>
    <row r="338">
      <c r="B338" s="13"/>
      <c r="C338" s="13"/>
      <c r="D338" s="13"/>
      <c r="E338" s="13"/>
      <c r="H338" s="18"/>
    </row>
    <row r="339">
      <c r="B339" s="13"/>
      <c r="C339" s="13"/>
      <c r="D339" s="13"/>
      <c r="E339" s="13"/>
      <c r="H339" s="18"/>
    </row>
    <row r="340">
      <c r="B340" s="13"/>
      <c r="C340" s="13"/>
      <c r="D340" s="13"/>
      <c r="E340" s="13"/>
      <c r="H340" s="18"/>
    </row>
    <row r="341">
      <c r="B341" s="13"/>
      <c r="C341" s="13"/>
      <c r="D341" s="13"/>
      <c r="E341" s="13"/>
      <c r="H341" s="18"/>
    </row>
    <row r="342">
      <c r="B342" s="13"/>
      <c r="C342" s="13"/>
      <c r="D342" s="13"/>
      <c r="E342" s="13"/>
      <c r="H342" s="18"/>
    </row>
    <row r="343">
      <c r="B343" s="13"/>
      <c r="C343" s="13"/>
      <c r="D343" s="13"/>
      <c r="E343" s="13"/>
      <c r="H343" s="18"/>
    </row>
    <row r="344">
      <c r="B344" s="13"/>
      <c r="C344" s="13"/>
      <c r="D344" s="13"/>
      <c r="E344" s="13"/>
      <c r="H344" s="18"/>
    </row>
    <row r="345">
      <c r="B345" s="13"/>
      <c r="C345" s="13"/>
      <c r="D345" s="13"/>
      <c r="E345" s="13"/>
      <c r="H345" s="18"/>
    </row>
    <row r="346">
      <c r="B346" s="13"/>
      <c r="C346" s="13"/>
      <c r="D346" s="13"/>
      <c r="E346" s="13"/>
      <c r="H346" s="18"/>
    </row>
    <row r="347">
      <c r="B347" s="13"/>
      <c r="C347" s="13"/>
      <c r="D347" s="13"/>
      <c r="E347" s="13"/>
      <c r="H347" s="18"/>
    </row>
    <row r="348">
      <c r="B348" s="13"/>
      <c r="C348" s="13"/>
      <c r="D348" s="13"/>
      <c r="E348" s="13"/>
      <c r="H348" s="18"/>
    </row>
    <row r="349">
      <c r="B349" s="13"/>
      <c r="C349" s="13"/>
      <c r="D349" s="13"/>
      <c r="E349" s="13"/>
      <c r="H349" s="18"/>
    </row>
    <row r="350">
      <c r="B350" s="13"/>
      <c r="C350" s="13"/>
      <c r="D350" s="13"/>
      <c r="E350" s="13"/>
      <c r="H350" s="18"/>
    </row>
    <row r="351">
      <c r="B351" s="13"/>
      <c r="C351" s="13"/>
      <c r="D351" s="13"/>
      <c r="E351" s="13"/>
      <c r="H351" s="18"/>
    </row>
    <row r="352">
      <c r="B352" s="13"/>
      <c r="C352" s="13"/>
      <c r="D352" s="13"/>
      <c r="E352" s="13"/>
      <c r="H352" s="18"/>
    </row>
    <row r="353">
      <c r="B353" s="13"/>
      <c r="C353" s="13"/>
      <c r="D353" s="13"/>
      <c r="E353" s="13"/>
      <c r="H353" s="18"/>
    </row>
    <row r="354">
      <c r="B354" s="13"/>
      <c r="C354" s="13"/>
      <c r="D354" s="13"/>
      <c r="E354" s="13"/>
      <c r="H354" s="18"/>
    </row>
    <row r="355">
      <c r="B355" s="13"/>
      <c r="C355" s="13"/>
      <c r="D355" s="13"/>
      <c r="E355" s="13"/>
      <c r="H355" s="18"/>
    </row>
    <row r="356">
      <c r="B356" s="13"/>
      <c r="C356" s="13"/>
      <c r="D356" s="13"/>
      <c r="E356" s="13"/>
      <c r="H356" s="18"/>
    </row>
    <row r="357">
      <c r="B357" s="13"/>
      <c r="C357" s="13"/>
      <c r="D357" s="13"/>
      <c r="E357" s="13"/>
      <c r="H357" s="18"/>
    </row>
    <row r="358">
      <c r="B358" s="13"/>
      <c r="C358" s="13"/>
      <c r="D358" s="13"/>
      <c r="E358" s="13"/>
      <c r="H358" s="18"/>
    </row>
    <row r="359">
      <c r="B359" s="13"/>
      <c r="C359" s="13"/>
      <c r="D359" s="13"/>
      <c r="E359" s="13"/>
      <c r="H359" s="18"/>
    </row>
    <row r="360">
      <c r="B360" s="13"/>
      <c r="C360" s="13"/>
      <c r="D360" s="13"/>
      <c r="E360" s="13"/>
      <c r="H360" s="18"/>
    </row>
    <row r="361">
      <c r="B361" s="13"/>
      <c r="C361" s="13"/>
      <c r="D361" s="13"/>
      <c r="E361" s="13"/>
      <c r="H361" s="18"/>
    </row>
    <row r="362">
      <c r="B362" s="13"/>
      <c r="C362" s="13"/>
      <c r="D362" s="13"/>
      <c r="E362" s="13"/>
      <c r="H362" s="18"/>
    </row>
    <row r="363">
      <c r="B363" s="13"/>
      <c r="C363" s="13"/>
      <c r="D363" s="13"/>
      <c r="E363" s="13"/>
      <c r="H363" s="18"/>
    </row>
    <row r="364">
      <c r="B364" s="13"/>
      <c r="C364" s="13"/>
      <c r="D364" s="13"/>
      <c r="E364" s="13"/>
      <c r="H364" s="18"/>
    </row>
    <row r="365">
      <c r="B365" s="13"/>
      <c r="C365" s="13"/>
      <c r="D365" s="13"/>
      <c r="E365" s="13"/>
      <c r="H365" s="18"/>
    </row>
    <row r="366">
      <c r="B366" s="13"/>
      <c r="C366" s="13"/>
      <c r="D366" s="13"/>
      <c r="E366" s="13"/>
      <c r="H366" s="18"/>
    </row>
    <row r="367">
      <c r="B367" s="13"/>
      <c r="C367" s="13"/>
      <c r="D367" s="13"/>
      <c r="E367" s="13"/>
      <c r="H367" s="18"/>
    </row>
    <row r="368">
      <c r="B368" s="13"/>
      <c r="C368" s="13"/>
      <c r="D368" s="13"/>
      <c r="E368" s="13"/>
      <c r="H368" s="18"/>
    </row>
    <row r="369">
      <c r="B369" s="13"/>
      <c r="C369" s="13"/>
      <c r="D369" s="13"/>
      <c r="E369" s="13"/>
      <c r="H369" s="18"/>
    </row>
    <row r="370">
      <c r="B370" s="13"/>
      <c r="C370" s="13"/>
      <c r="D370" s="13"/>
      <c r="E370" s="13"/>
      <c r="H370" s="18"/>
    </row>
    <row r="371">
      <c r="B371" s="13"/>
      <c r="C371" s="13"/>
      <c r="D371" s="13"/>
      <c r="E371" s="13"/>
      <c r="H371" s="18"/>
    </row>
    <row r="372">
      <c r="B372" s="13"/>
      <c r="C372" s="13"/>
      <c r="D372" s="13"/>
      <c r="E372" s="13"/>
      <c r="H372" s="18"/>
    </row>
    <row r="373">
      <c r="B373" s="13"/>
      <c r="C373" s="13"/>
      <c r="D373" s="13"/>
      <c r="E373" s="13"/>
      <c r="H373" s="18"/>
    </row>
    <row r="374">
      <c r="B374" s="13"/>
      <c r="C374" s="13"/>
      <c r="D374" s="13"/>
      <c r="E374" s="13"/>
      <c r="H374" s="18"/>
    </row>
    <row r="375">
      <c r="B375" s="13"/>
      <c r="C375" s="13"/>
      <c r="D375" s="13"/>
      <c r="E375" s="13"/>
      <c r="H375" s="18"/>
    </row>
    <row r="376">
      <c r="B376" s="13"/>
      <c r="C376" s="13"/>
      <c r="D376" s="13"/>
      <c r="E376" s="13"/>
      <c r="H376" s="18"/>
    </row>
    <row r="377">
      <c r="B377" s="13"/>
      <c r="C377" s="13"/>
      <c r="D377" s="13"/>
      <c r="E377" s="13"/>
      <c r="H377" s="18"/>
    </row>
    <row r="378">
      <c r="B378" s="13"/>
      <c r="C378" s="13"/>
      <c r="D378" s="13"/>
      <c r="E378" s="13"/>
      <c r="H378" s="18"/>
    </row>
    <row r="379">
      <c r="B379" s="13"/>
      <c r="C379" s="13"/>
      <c r="D379" s="13"/>
      <c r="E379" s="13"/>
      <c r="H379" s="18"/>
    </row>
    <row r="380">
      <c r="B380" s="13"/>
      <c r="C380" s="13"/>
      <c r="D380" s="13"/>
      <c r="E380" s="13"/>
      <c r="H380" s="18"/>
    </row>
    <row r="381">
      <c r="B381" s="13"/>
      <c r="C381" s="13"/>
      <c r="D381" s="13"/>
      <c r="E381" s="13"/>
      <c r="H381" s="18"/>
    </row>
    <row r="382">
      <c r="B382" s="13"/>
      <c r="C382" s="13"/>
      <c r="D382" s="13"/>
      <c r="E382" s="13"/>
      <c r="H382" s="18"/>
    </row>
    <row r="383">
      <c r="B383" s="13"/>
      <c r="C383" s="13"/>
      <c r="D383" s="13"/>
      <c r="E383" s="13"/>
      <c r="H383" s="18"/>
    </row>
    <row r="384">
      <c r="B384" s="13"/>
      <c r="C384" s="13"/>
      <c r="D384" s="13"/>
      <c r="E384" s="13"/>
      <c r="H384" s="18"/>
    </row>
    <row r="385">
      <c r="B385" s="13"/>
      <c r="C385" s="13"/>
      <c r="D385" s="13"/>
      <c r="E385" s="13"/>
      <c r="H385" s="18"/>
    </row>
    <row r="386">
      <c r="B386" s="13"/>
      <c r="C386" s="13"/>
      <c r="D386" s="13"/>
      <c r="E386" s="13"/>
      <c r="H386" s="18"/>
    </row>
    <row r="387">
      <c r="B387" s="13"/>
      <c r="C387" s="13"/>
      <c r="D387" s="13"/>
      <c r="E387" s="13"/>
      <c r="H387" s="18"/>
    </row>
    <row r="388">
      <c r="B388" s="13"/>
      <c r="C388" s="13"/>
      <c r="D388" s="13"/>
      <c r="E388" s="13"/>
      <c r="H388" s="18"/>
    </row>
    <row r="389">
      <c r="B389" s="13"/>
      <c r="C389" s="13"/>
      <c r="D389" s="13"/>
      <c r="E389" s="13"/>
      <c r="H389" s="18"/>
    </row>
    <row r="390">
      <c r="B390" s="13"/>
      <c r="C390" s="13"/>
      <c r="D390" s="13"/>
      <c r="E390" s="13"/>
      <c r="H390" s="18"/>
    </row>
    <row r="391">
      <c r="B391" s="13"/>
      <c r="C391" s="13"/>
      <c r="D391" s="13"/>
      <c r="E391" s="13"/>
      <c r="H391" s="18"/>
    </row>
    <row r="392">
      <c r="B392" s="13"/>
      <c r="C392" s="13"/>
      <c r="D392" s="13"/>
      <c r="E392" s="13"/>
      <c r="H392" s="18"/>
    </row>
    <row r="393">
      <c r="B393" s="13"/>
      <c r="C393" s="13"/>
      <c r="D393" s="13"/>
      <c r="E393" s="13"/>
      <c r="H393" s="18"/>
    </row>
    <row r="394">
      <c r="B394" s="13"/>
      <c r="C394" s="13"/>
      <c r="D394" s="13"/>
      <c r="E394" s="13"/>
      <c r="H394" s="18"/>
    </row>
    <row r="395">
      <c r="B395" s="13"/>
      <c r="C395" s="13"/>
      <c r="D395" s="13"/>
      <c r="E395" s="13"/>
      <c r="H395" s="18"/>
    </row>
    <row r="396">
      <c r="B396" s="13"/>
      <c r="C396" s="13"/>
      <c r="D396" s="13"/>
      <c r="E396" s="13"/>
      <c r="H396" s="18"/>
    </row>
    <row r="397">
      <c r="B397" s="13"/>
      <c r="C397" s="13"/>
      <c r="D397" s="13"/>
      <c r="E397" s="13"/>
      <c r="H397" s="18"/>
    </row>
    <row r="398">
      <c r="B398" s="13"/>
      <c r="C398" s="13"/>
      <c r="D398" s="13"/>
      <c r="E398" s="13"/>
      <c r="H398" s="18"/>
    </row>
    <row r="399">
      <c r="B399" s="13"/>
      <c r="C399" s="13"/>
      <c r="D399" s="13"/>
      <c r="E399" s="13"/>
      <c r="H399" s="18"/>
    </row>
    <row r="400">
      <c r="B400" s="13"/>
      <c r="C400" s="13"/>
      <c r="D400" s="13"/>
      <c r="E400" s="13"/>
      <c r="H400" s="18"/>
    </row>
    <row r="401">
      <c r="B401" s="13"/>
      <c r="C401" s="13"/>
      <c r="D401" s="13"/>
      <c r="E401" s="13"/>
      <c r="H401" s="18"/>
    </row>
    <row r="402">
      <c r="B402" s="13"/>
      <c r="C402" s="13"/>
      <c r="D402" s="13"/>
      <c r="E402" s="13"/>
      <c r="H402" s="18"/>
    </row>
    <row r="403">
      <c r="B403" s="13"/>
      <c r="C403" s="13"/>
      <c r="D403" s="13"/>
      <c r="E403" s="13"/>
      <c r="H403" s="18"/>
    </row>
    <row r="404">
      <c r="B404" s="13"/>
      <c r="C404" s="13"/>
      <c r="D404" s="13"/>
      <c r="E404" s="13"/>
      <c r="H404" s="18"/>
    </row>
    <row r="405">
      <c r="B405" s="13"/>
      <c r="C405" s="13"/>
      <c r="D405" s="13"/>
      <c r="E405" s="13"/>
      <c r="H405" s="18"/>
    </row>
    <row r="406">
      <c r="B406" s="13"/>
      <c r="C406" s="13"/>
      <c r="D406" s="13"/>
      <c r="E406" s="13"/>
      <c r="H406" s="18"/>
    </row>
    <row r="407">
      <c r="B407" s="13"/>
      <c r="C407" s="13"/>
      <c r="D407" s="13"/>
      <c r="E407" s="13"/>
      <c r="H407" s="18"/>
    </row>
    <row r="408">
      <c r="B408" s="13"/>
      <c r="C408" s="13"/>
      <c r="D408" s="13"/>
      <c r="E408" s="13"/>
      <c r="H408" s="18"/>
    </row>
    <row r="409">
      <c r="B409" s="13"/>
      <c r="C409" s="13"/>
      <c r="D409" s="13"/>
      <c r="E409" s="13"/>
      <c r="H409" s="18"/>
    </row>
    <row r="410">
      <c r="B410" s="13"/>
      <c r="C410" s="13"/>
      <c r="D410" s="13"/>
      <c r="E410" s="13"/>
      <c r="H410" s="18"/>
    </row>
    <row r="411">
      <c r="B411" s="13"/>
      <c r="C411" s="13"/>
      <c r="D411" s="13"/>
      <c r="E411" s="13"/>
      <c r="H411" s="18"/>
    </row>
    <row r="412">
      <c r="B412" s="13"/>
      <c r="C412" s="13"/>
      <c r="D412" s="13"/>
      <c r="E412" s="13"/>
      <c r="H412" s="18"/>
    </row>
    <row r="413">
      <c r="B413" s="13"/>
      <c r="C413" s="13"/>
      <c r="D413" s="13"/>
      <c r="E413" s="13"/>
      <c r="H413" s="18"/>
    </row>
    <row r="414">
      <c r="B414" s="13"/>
      <c r="C414" s="13"/>
      <c r="D414" s="13"/>
      <c r="E414" s="13"/>
      <c r="H414" s="18"/>
    </row>
    <row r="415">
      <c r="B415" s="13"/>
      <c r="C415" s="13"/>
      <c r="D415" s="13"/>
      <c r="E415" s="13"/>
      <c r="H415" s="18"/>
    </row>
    <row r="416">
      <c r="B416" s="13"/>
      <c r="C416" s="13"/>
      <c r="D416" s="13"/>
      <c r="E416" s="13"/>
      <c r="H416" s="18"/>
    </row>
    <row r="417">
      <c r="B417" s="13"/>
      <c r="C417" s="13"/>
      <c r="D417" s="13"/>
      <c r="E417" s="13"/>
      <c r="H417" s="18"/>
    </row>
    <row r="418">
      <c r="B418" s="13"/>
      <c r="C418" s="13"/>
      <c r="D418" s="13"/>
      <c r="E418" s="13"/>
      <c r="H418" s="18"/>
    </row>
    <row r="419">
      <c r="B419" s="13"/>
      <c r="C419" s="13"/>
      <c r="D419" s="13"/>
      <c r="E419" s="13"/>
      <c r="H419" s="18"/>
    </row>
    <row r="420">
      <c r="B420" s="13"/>
      <c r="C420" s="13"/>
      <c r="D420" s="13"/>
      <c r="E420" s="13"/>
      <c r="H420" s="18"/>
    </row>
    <row r="421">
      <c r="B421" s="13"/>
      <c r="C421" s="13"/>
      <c r="D421" s="13"/>
      <c r="E421" s="13"/>
      <c r="H421" s="18"/>
    </row>
    <row r="422">
      <c r="B422" s="13"/>
      <c r="C422" s="13"/>
      <c r="D422" s="13"/>
      <c r="E422" s="13"/>
      <c r="H422" s="18"/>
    </row>
    <row r="423">
      <c r="B423" s="13"/>
      <c r="C423" s="13"/>
      <c r="D423" s="13"/>
      <c r="E423" s="13"/>
      <c r="H423" s="18"/>
    </row>
    <row r="424">
      <c r="B424" s="13"/>
      <c r="C424" s="13"/>
      <c r="D424" s="13"/>
      <c r="E424" s="13"/>
      <c r="H424" s="18"/>
    </row>
    <row r="425">
      <c r="B425" s="13"/>
      <c r="C425" s="13"/>
      <c r="D425" s="13"/>
      <c r="E425" s="13"/>
      <c r="H425" s="18"/>
    </row>
    <row r="426">
      <c r="B426" s="13"/>
      <c r="C426" s="13"/>
      <c r="D426" s="13"/>
      <c r="E426" s="13"/>
      <c r="H426" s="18"/>
    </row>
    <row r="427">
      <c r="B427" s="13"/>
      <c r="C427" s="13"/>
      <c r="D427" s="13"/>
      <c r="E427" s="13"/>
      <c r="H427" s="18"/>
    </row>
    <row r="428">
      <c r="B428" s="13"/>
      <c r="C428" s="13"/>
      <c r="D428" s="13"/>
      <c r="E428" s="13"/>
      <c r="H428" s="18"/>
    </row>
    <row r="429">
      <c r="B429" s="13"/>
      <c r="C429" s="13"/>
      <c r="D429" s="13"/>
      <c r="E429" s="13"/>
      <c r="H429" s="18"/>
    </row>
    <row r="430">
      <c r="B430" s="13"/>
      <c r="C430" s="13"/>
      <c r="D430" s="13"/>
      <c r="E430" s="13"/>
      <c r="H430" s="18"/>
    </row>
    <row r="431">
      <c r="B431" s="13"/>
      <c r="C431" s="13"/>
      <c r="D431" s="13"/>
      <c r="E431" s="13"/>
      <c r="H431" s="18"/>
    </row>
    <row r="432">
      <c r="B432" s="13"/>
      <c r="C432" s="13"/>
      <c r="D432" s="13"/>
      <c r="E432" s="13"/>
      <c r="H432" s="18"/>
    </row>
    <row r="433">
      <c r="B433" s="13"/>
      <c r="C433" s="13"/>
      <c r="D433" s="13"/>
      <c r="E433" s="13"/>
      <c r="H433" s="18"/>
    </row>
    <row r="434">
      <c r="B434" s="13"/>
      <c r="C434" s="13"/>
      <c r="D434" s="13"/>
      <c r="E434" s="13"/>
      <c r="H434" s="18"/>
    </row>
    <row r="435">
      <c r="B435" s="13"/>
      <c r="C435" s="13"/>
      <c r="D435" s="13"/>
      <c r="E435" s="13"/>
      <c r="H435" s="18"/>
    </row>
    <row r="436">
      <c r="B436" s="13"/>
      <c r="C436" s="13"/>
      <c r="D436" s="13"/>
      <c r="E436" s="13"/>
      <c r="H436" s="18"/>
    </row>
    <row r="437">
      <c r="B437" s="13"/>
      <c r="C437" s="13"/>
      <c r="D437" s="13"/>
      <c r="E437" s="13"/>
      <c r="H437" s="18"/>
    </row>
    <row r="438">
      <c r="B438" s="13"/>
      <c r="C438" s="13"/>
      <c r="D438" s="13"/>
      <c r="E438" s="13"/>
      <c r="H438" s="18"/>
    </row>
    <row r="439">
      <c r="B439" s="13"/>
      <c r="C439" s="13"/>
      <c r="D439" s="13"/>
      <c r="E439" s="13"/>
      <c r="H439" s="18"/>
    </row>
    <row r="440">
      <c r="B440" s="13"/>
      <c r="C440" s="13"/>
      <c r="D440" s="13"/>
      <c r="E440" s="13"/>
      <c r="H440" s="18"/>
    </row>
    <row r="441">
      <c r="B441" s="13"/>
      <c r="C441" s="13"/>
      <c r="D441" s="13"/>
      <c r="E441" s="13"/>
      <c r="H441" s="18"/>
    </row>
    <row r="442">
      <c r="B442" s="13"/>
      <c r="C442" s="13"/>
      <c r="D442" s="13"/>
      <c r="E442" s="13"/>
      <c r="H442" s="18"/>
    </row>
    <row r="443">
      <c r="B443" s="13"/>
      <c r="C443" s="13"/>
      <c r="D443" s="13"/>
      <c r="E443" s="13"/>
      <c r="H443" s="18"/>
    </row>
    <row r="444">
      <c r="B444" s="13"/>
      <c r="C444" s="13"/>
      <c r="D444" s="13"/>
      <c r="E444" s="13"/>
      <c r="H444" s="18"/>
    </row>
    <row r="445">
      <c r="B445" s="13"/>
      <c r="C445" s="13"/>
      <c r="D445" s="13"/>
      <c r="E445" s="13"/>
      <c r="H445" s="18"/>
    </row>
    <row r="446">
      <c r="B446" s="13"/>
      <c r="C446" s="13"/>
      <c r="D446" s="13"/>
      <c r="E446" s="13"/>
      <c r="H446" s="18"/>
    </row>
    <row r="447">
      <c r="B447" s="13"/>
      <c r="C447" s="13"/>
      <c r="D447" s="13"/>
      <c r="E447" s="13"/>
      <c r="H447" s="18"/>
    </row>
    <row r="448">
      <c r="B448" s="13"/>
      <c r="C448" s="13"/>
      <c r="D448" s="13"/>
      <c r="E448" s="13"/>
      <c r="H448" s="18"/>
    </row>
    <row r="449">
      <c r="B449" s="13"/>
      <c r="C449" s="13"/>
      <c r="D449" s="13"/>
      <c r="E449" s="13"/>
      <c r="H449" s="18"/>
    </row>
    <row r="450">
      <c r="B450" s="13"/>
      <c r="C450" s="13"/>
      <c r="D450" s="13"/>
      <c r="E450" s="13"/>
      <c r="H450" s="18"/>
    </row>
    <row r="451">
      <c r="B451" s="13"/>
      <c r="C451" s="13"/>
      <c r="D451" s="13"/>
      <c r="E451" s="13"/>
      <c r="H451" s="18"/>
    </row>
    <row r="452">
      <c r="B452" s="13"/>
      <c r="C452" s="13"/>
      <c r="D452" s="13"/>
      <c r="E452" s="13"/>
      <c r="H452" s="18"/>
    </row>
    <row r="453">
      <c r="B453" s="13"/>
      <c r="C453" s="13"/>
      <c r="D453" s="13"/>
      <c r="E453" s="13"/>
      <c r="H453" s="18"/>
    </row>
    <row r="454">
      <c r="B454" s="13"/>
      <c r="C454" s="13"/>
      <c r="D454" s="13"/>
      <c r="E454" s="13"/>
      <c r="H454" s="18"/>
    </row>
    <row r="455">
      <c r="B455" s="13"/>
      <c r="C455" s="13"/>
      <c r="D455" s="13"/>
      <c r="E455" s="13"/>
      <c r="H455" s="18"/>
    </row>
    <row r="456">
      <c r="B456" s="13"/>
      <c r="C456" s="13"/>
      <c r="D456" s="13"/>
      <c r="E456" s="13"/>
      <c r="H456" s="18"/>
    </row>
    <row r="457">
      <c r="B457" s="13"/>
      <c r="C457" s="13"/>
      <c r="D457" s="13"/>
      <c r="E457" s="13"/>
      <c r="H457" s="18"/>
    </row>
    <row r="458">
      <c r="B458" s="13"/>
      <c r="C458" s="13"/>
      <c r="D458" s="13"/>
      <c r="E458" s="13"/>
      <c r="H458" s="18"/>
    </row>
    <row r="459">
      <c r="B459" s="13"/>
      <c r="C459" s="13"/>
      <c r="D459" s="13"/>
      <c r="E459" s="13"/>
      <c r="H459" s="18"/>
    </row>
    <row r="460">
      <c r="B460" s="13"/>
      <c r="C460" s="13"/>
      <c r="D460" s="13"/>
      <c r="E460" s="13"/>
      <c r="H460" s="18"/>
    </row>
    <row r="461">
      <c r="B461" s="13"/>
      <c r="C461" s="13"/>
      <c r="D461" s="13"/>
      <c r="E461" s="13"/>
      <c r="H461" s="18"/>
    </row>
    <row r="462">
      <c r="B462" s="13"/>
      <c r="C462" s="13"/>
      <c r="D462" s="13"/>
      <c r="E462" s="13"/>
      <c r="H462" s="18"/>
    </row>
    <row r="463">
      <c r="B463" s="13"/>
      <c r="C463" s="13"/>
      <c r="D463" s="13"/>
      <c r="E463" s="13"/>
      <c r="H463" s="18"/>
    </row>
    <row r="464">
      <c r="B464" s="13"/>
      <c r="C464" s="13"/>
      <c r="D464" s="13"/>
      <c r="E464" s="13"/>
      <c r="H464" s="18"/>
    </row>
    <row r="465">
      <c r="B465" s="13"/>
      <c r="C465" s="13"/>
      <c r="D465" s="13"/>
      <c r="E465" s="13"/>
      <c r="H465" s="18"/>
    </row>
    <row r="466">
      <c r="B466" s="13"/>
      <c r="C466" s="13"/>
      <c r="D466" s="13"/>
      <c r="E466" s="13"/>
      <c r="H466" s="18"/>
    </row>
    <row r="467">
      <c r="B467" s="13"/>
      <c r="C467" s="13"/>
      <c r="D467" s="13"/>
      <c r="E467" s="13"/>
      <c r="H467" s="18"/>
    </row>
    <row r="468">
      <c r="B468" s="13"/>
      <c r="C468" s="13"/>
      <c r="D468" s="13"/>
      <c r="E468" s="13"/>
      <c r="H468" s="18"/>
    </row>
    <row r="469">
      <c r="B469" s="13"/>
      <c r="C469" s="13"/>
      <c r="D469" s="13"/>
      <c r="E469" s="13"/>
      <c r="H469" s="18"/>
    </row>
    <row r="470">
      <c r="B470" s="13"/>
      <c r="C470" s="13"/>
      <c r="D470" s="13"/>
      <c r="E470" s="13"/>
      <c r="H470" s="18"/>
    </row>
    <row r="471">
      <c r="B471" s="13"/>
      <c r="C471" s="13"/>
      <c r="D471" s="13"/>
      <c r="E471" s="13"/>
      <c r="H471" s="18"/>
    </row>
    <row r="472">
      <c r="B472" s="13"/>
      <c r="C472" s="13"/>
      <c r="D472" s="13"/>
      <c r="E472" s="13"/>
      <c r="H472" s="18"/>
    </row>
    <row r="473">
      <c r="B473" s="13"/>
      <c r="C473" s="13"/>
      <c r="D473" s="13"/>
      <c r="E473" s="13"/>
      <c r="H473" s="18"/>
    </row>
    <row r="474">
      <c r="B474" s="13"/>
      <c r="C474" s="13"/>
      <c r="D474" s="13"/>
      <c r="E474" s="13"/>
      <c r="H474" s="18"/>
    </row>
    <row r="475">
      <c r="B475" s="13"/>
      <c r="C475" s="13"/>
      <c r="D475" s="13"/>
      <c r="E475" s="13"/>
      <c r="H475" s="18"/>
    </row>
    <row r="476">
      <c r="B476" s="13"/>
      <c r="C476" s="13"/>
      <c r="D476" s="13"/>
      <c r="E476" s="13"/>
      <c r="H476" s="18"/>
    </row>
    <row r="477">
      <c r="B477" s="13"/>
      <c r="C477" s="13"/>
      <c r="D477" s="13"/>
      <c r="E477" s="13"/>
      <c r="H477" s="18"/>
    </row>
    <row r="478">
      <c r="B478" s="13"/>
      <c r="C478" s="13"/>
      <c r="D478" s="13"/>
      <c r="E478" s="13"/>
      <c r="H478" s="18"/>
    </row>
    <row r="479">
      <c r="B479" s="13"/>
      <c r="C479" s="13"/>
      <c r="D479" s="13"/>
      <c r="E479" s="13"/>
      <c r="H479" s="18"/>
    </row>
    <row r="480">
      <c r="B480" s="13"/>
      <c r="C480" s="13"/>
      <c r="D480" s="13"/>
      <c r="E480" s="13"/>
      <c r="H480" s="18"/>
    </row>
    <row r="481">
      <c r="B481" s="13"/>
      <c r="C481" s="13"/>
      <c r="D481" s="13"/>
      <c r="E481" s="13"/>
      <c r="H481" s="18"/>
    </row>
    <row r="482">
      <c r="B482" s="13"/>
      <c r="C482" s="13"/>
      <c r="D482" s="13"/>
      <c r="E482" s="13"/>
      <c r="H482" s="18"/>
    </row>
    <row r="483">
      <c r="B483" s="13"/>
      <c r="C483" s="13"/>
      <c r="D483" s="13"/>
      <c r="E483" s="13"/>
      <c r="H483" s="18"/>
    </row>
    <row r="484">
      <c r="B484" s="13"/>
      <c r="C484" s="13"/>
      <c r="D484" s="13"/>
      <c r="E484" s="13"/>
      <c r="H484" s="18"/>
    </row>
    <row r="485">
      <c r="B485" s="13"/>
      <c r="C485" s="13"/>
      <c r="D485" s="13"/>
      <c r="E485" s="13"/>
      <c r="H485" s="18"/>
    </row>
    <row r="486">
      <c r="B486" s="13"/>
      <c r="C486" s="13"/>
      <c r="D486" s="13"/>
      <c r="E486" s="13"/>
      <c r="H486" s="18"/>
    </row>
    <row r="487">
      <c r="B487" s="13"/>
      <c r="C487" s="13"/>
      <c r="D487" s="13"/>
      <c r="E487" s="13"/>
      <c r="H487" s="18"/>
    </row>
    <row r="488">
      <c r="B488" s="13"/>
      <c r="C488" s="13"/>
      <c r="D488" s="13"/>
      <c r="E488" s="13"/>
      <c r="H488" s="18"/>
    </row>
    <row r="489">
      <c r="B489" s="13"/>
      <c r="C489" s="13"/>
      <c r="D489" s="13"/>
      <c r="E489" s="13"/>
      <c r="H489" s="18"/>
    </row>
    <row r="490">
      <c r="B490" s="13"/>
      <c r="C490" s="13"/>
      <c r="D490" s="13"/>
      <c r="E490" s="13"/>
      <c r="H490" s="18"/>
    </row>
    <row r="491">
      <c r="B491" s="13"/>
      <c r="C491" s="13"/>
      <c r="D491" s="13"/>
      <c r="E491" s="13"/>
      <c r="H491" s="18"/>
    </row>
    <row r="492">
      <c r="B492" s="13"/>
      <c r="C492" s="13"/>
      <c r="D492" s="13"/>
      <c r="E492" s="13"/>
      <c r="H492" s="18"/>
    </row>
    <row r="493">
      <c r="B493" s="13"/>
      <c r="C493" s="13"/>
      <c r="D493" s="13"/>
      <c r="E493" s="13"/>
      <c r="H493" s="18"/>
    </row>
    <row r="494">
      <c r="B494" s="13"/>
      <c r="C494" s="13"/>
      <c r="D494" s="13"/>
      <c r="E494" s="13"/>
      <c r="H494" s="18"/>
    </row>
    <row r="495">
      <c r="B495" s="13"/>
      <c r="C495" s="13"/>
      <c r="D495" s="13"/>
      <c r="E495" s="13"/>
      <c r="H495" s="18"/>
    </row>
    <row r="496">
      <c r="B496" s="13"/>
      <c r="C496" s="13"/>
      <c r="D496" s="13"/>
      <c r="E496" s="13"/>
      <c r="H496" s="18"/>
    </row>
    <row r="497">
      <c r="B497" s="13"/>
      <c r="C497" s="13"/>
      <c r="D497" s="13"/>
      <c r="E497" s="13"/>
      <c r="H497" s="18"/>
    </row>
    <row r="498">
      <c r="B498" s="13"/>
      <c r="C498" s="13"/>
      <c r="D498" s="13"/>
      <c r="E498" s="13"/>
      <c r="H498" s="18"/>
    </row>
    <row r="499">
      <c r="B499" s="13"/>
      <c r="C499" s="13"/>
      <c r="D499" s="13"/>
      <c r="E499" s="13"/>
      <c r="H499" s="18"/>
    </row>
    <row r="500">
      <c r="B500" s="13"/>
      <c r="C500" s="13"/>
      <c r="D500" s="13"/>
      <c r="E500" s="13"/>
      <c r="H500" s="18"/>
    </row>
    <row r="501">
      <c r="B501" s="13"/>
      <c r="C501" s="13"/>
      <c r="D501" s="13"/>
      <c r="E501" s="13"/>
      <c r="H501" s="18"/>
    </row>
    <row r="502">
      <c r="B502" s="13"/>
      <c r="C502" s="13"/>
      <c r="D502" s="13"/>
      <c r="E502" s="13"/>
      <c r="H502" s="18"/>
    </row>
    <row r="503">
      <c r="B503" s="13"/>
      <c r="C503" s="13"/>
      <c r="D503" s="13"/>
      <c r="E503" s="13"/>
      <c r="H503" s="18"/>
    </row>
    <row r="504">
      <c r="B504" s="13"/>
      <c r="C504" s="13"/>
      <c r="D504" s="13"/>
      <c r="E504" s="13"/>
      <c r="H504" s="18"/>
    </row>
    <row r="505">
      <c r="B505" s="13"/>
      <c r="C505" s="13"/>
      <c r="D505" s="13"/>
      <c r="E505" s="13"/>
      <c r="H505" s="18"/>
    </row>
    <row r="506">
      <c r="B506" s="13"/>
      <c r="C506" s="13"/>
      <c r="D506" s="13"/>
      <c r="E506" s="13"/>
      <c r="H506" s="18"/>
    </row>
    <row r="507">
      <c r="B507" s="13"/>
      <c r="C507" s="13"/>
      <c r="D507" s="13"/>
      <c r="E507" s="13"/>
      <c r="H507" s="18"/>
    </row>
    <row r="508">
      <c r="B508" s="13"/>
      <c r="C508" s="13"/>
      <c r="D508" s="13"/>
      <c r="E508" s="13"/>
      <c r="H508" s="18"/>
    </row>
    <row r="509">
      <c r="B509" s="13"/>
      <c r="C509" s="13"/>
      <c r="D509" s="13"/>
      <c r="E509" s="13"/>
      <c r="H509" s="18"/>
    </row>
    <row r="510">
      <c r="B510" s="13"/>
      <c r="C510" s="13"/>
      <c r="D510" s="13"/>
      <c r="E510" s="13"/>
      <c r="H510" s="18"/>
    </row>
    <row r="511">
      <c r="B511" s="13"/>
      <c r="C511" s="13"/>
      <c r="D511" s="13"/>
      <c r="E511" s="13"/>
      <c r="H511" s="18"/>
    </row>
    <row r="512">
      <c r="B512" s="13"/>
      <c r="C512" s="13"/>
      <c r="D512" s="13"/>
      <c r="E512" s="13"/>
      <c r="H512" s="18"/>
    </row>
    <row r="513">
      <c r="B513" s="13"/>
      <c r="C513" s="13"/>
      <c r="D513" s="13"/>
      <c r="E513" s="13"/>
      <c r="H513" s="18"/>
    </row>
    <row r="514">
      <c r="B514" s="13"/>
      <c r="C514" s="13"/>
      <c r="D514" s="13"/>
      <c r="E514" s="13"/>
      <c r="H514" s="18"/>
    </row>
    <row r="515">
      <c r="B515" s="13"/>
      <c r="C515" s="13"/>
      <c r="D515" s="13"/>
      <c r="E515" s="13"/>
      <c r="H515" s="18"/>
    </row>
    <row r="516">
      <c r="B516" s="13"/>
      <c r="C516" s="13"/>
      <c r="D516" s="13"/>
      <c r="E516" s="13"/>
      <c r="H516" s="18"/>
    </row>
    <row r="517">
      <c r="B517" s="13"/>
      <c r="C517" s="13"/>
      <c r="D517" s="13"/>
      <c r="E517" s="13"/>
      <c r="H517" s="18"/>
    </row>
    <row r="518">
      <c r="B518" s="13"/>
      <c r="C518" s="13"/>
      <c r="D518" s="13"/>
      <c r="E518" s="13"/>
      <c r="H518" s="18"/>
    </row>
    <row r="519">
      <c r="B519" s="13"/>
      <c r="C519" s="13"/>
      <c r="D519" s="13"/>
      <c r="E519" s="13"/>
      <c r="H519" s="18"/>
    </row>
    <row r="520">
      <c r="B520" s="13"/>
      <c r="C520" s="13"/>
      <c r="D520" s="13"/>
      <c r="E520" s="13"/>
      <c r="H520" s="18"/>
    </row>
    <row r="521">
      <c r="B521" s="13"/>
      <c r="C521" s="13"/>
      <c r="D521" s="13"/>
      <c r="E521" s="13"/>
      <c r="H521" s="18"/>
    </row>
    <row r="522">
      <c r="B522" s="13"/>
      <c r="C522" s="13"/>
      <c r="D522" s="13"/>
      <c r="E522" s="13"/>
      <c r="H522" s="18"/>
    </row>
    <row r="523">
      <c r="B523" s="13"/>
      <c r="C523" s="13"/>
      <c r="D523" s="13"/>
      <c r="E523" s="13"/>
      <c r="H523" s="18"/>
    </row>
    <row r="524">
      <c r="B524" s="13"/>
      <c r="C524" s="13"/>
      <c r="D524" s="13"/>
      <c r="E524" s="13"/>
      <c r="H524" s="18"/>
    </row>
    <row r="525">
      <c r="B525" s="13"/>
      <c r="C525" s="13"/>
      <c r="D525" s="13"/>
      <c r="E525" s="13"/>
      <c r="H525" s="18"/>
    </row>
    <row r="526">
      <c r="B526" s="13"/>
      <c r="C526" s="13"/>
      <c r="D526" s="13"/>
      <c r="E526" s="13"/>
      <c r="H526" s="18"/>
    </row>
    <row r="527">
      <c r="B527" s="13"/>
      <c r="C527" s="13"/>
      <c r="D527" s="13"/>
      <c r="E527" s="13"/>
      <c r="H527" s="18"/>
    </row>
    <row r="528">
      <c r="B528" s="13"/>
      <c r="C528" s="13"/>
      <c r="D528" s="13"/>
      <c r="E528" s="13"/>
      <c r="H528" s="18"/>
    </row>
    <row r="529">
      <c r="B529" s="13"/>
      <c r="C529" s="13"/>
      <c r="D529" s="13"/>
      <c r="E529" s="13"/>
      <c r="H529" s="18"/>
    </row>
    <row r="530">
      <c r="B530" s="13"/>
      <c r="C530" s="13"/>
      <c r="D530" s="13"/>
      <c r="E530" s="13"/>
      <c r="H530" s="18"/>
    </row>
    <row r="531">
      <c r="B531" s="13"/>
      <c r="C531" s="13"/>
      <c r="D531" s="13"/>
      <c r="E531" s="13"/>
      <c r="H531" s="18"/>
    </row>
    <row r="532">
      <c r="B532" s="13"/>
      <c r="C532" s="13"/>
      <c r="D532" s="13"/>
      <c r="E532" s="13"/>
      <c r="H532" s="18"/>
    </row>
    <row r="533">
      <c r="B533" s="13"/>
      <c r="C533" s="13"/>
      <c r="D533" s="13"/>
      <c r="E533" s="13"/>
      <c r="H533" s="18"/>
    </row>
    <row r="534">
      <c r="B534" s="13"/>
      <c r="C534" s="13"/>
      <c r="D534" s="13"/>
      <c r="E534" s="13"/>
      <c r="H534" s="18"/>
    </row>
    <row r="535">
      <c r="B535" s="13"/>
      <c r="C535" s="13"/>
      <c r="D535" s="13"/>
      <c r="E535" s="13"/>
      <c r="H535" s="18"/>
    </row>
    <row r="536">
      <c r="B536" s="13"/>
      <c r="C536" s="13"/>
      <c r="D536" s="13"/>
      <c r="E536" s="13"/>
      <c r="H536" s="18"/>
    </row>
    <row r="537">
      <c r="B537" s="13"/>
      <c r="C537" s="13"/>
      <c r="D537" s="13"/>
      <c r="E537" s="13"/>
      <c r="H537" s="18"/>
    </row>
    <row r="538">
      <c r="B538" s="13"/>
      <c r="C538" s="13"/>
      <c r="D538" s="13"/>
      <c r="E538" s="13"/>
      <c r="H538" s="18"/>
    </row>
    <row r="539">
      <c r="B539" s="13"/>
      <c r="C539" s="13"/>
      <c r="D539" s="13"/>
      <c r="E539" s="13"/>
      <c r="H539" s="18"/>
    </row>
    <row r="540">
      <c r="B540" s="13"/>
      <c r="C540" s="13"/>
      <c r="D540" s="13"/>
      <c r="E540" s="13"/>
      <c r="H540" s="18"/>
    </row>
    <row r="541">
      <c r="B541" s="13"/>
      <c r="C541" s="13"/>
      <c r="D541" s="13"/>
      <c r="E541" s="13"/>
      <c r="H541" s="18"/>
    </row>
    <row r="542">
      <c r="B542" s="13"/>
      <c r="C542" s="13"/>
      <c r="D542" s="13"/>
      <c r="E542" s="13"/>
      <c r="H542" s="18"/>
    </row>
    <row r="543">
      <c r="B543" s="13"/>
      <c r="C543" s="13"/>
      <c r="D543" s="13"/>
      <c r="E543" s="13"/>
      <c r="H543" s="18"/>
    </row>
    <row r="544">
      <c r="B544" s="13"/>
      <c r="C544" s="13"/>
      <c r="D544" s="13"/>
      <c r="E544" s="13"/>
      <c r="H544" s="18"/>
    </row>
    <row r="545">
      <c r="B545" s="13"/>
      <c r="C545" s="13"/>
      <c r="D545" s="13"/>
      <c r="E545" s="13"/>
      <c r="H545" s="18"/>
    </row>
    <row r="546">
      <c r="B546" s="13"/>
      <c r="C546" s="13"/>
      <c r="D546" s="13"/>
      <c r="E546" s="13"/>
      <c r="H546" s="18"/>
    </row>
    <row r="547">
      <c r="B547" s="13"/>
      <c r="C547" s="13"/>
      <c r="D547" s="13"/>
      <c r="E547" s="13"/>
      <c r="H547" s="18"/>
    </row>
    <row r="548">
      <c r="B548" s="13"/>
      <c r="C548" s="13"/>
      <c r="D548" s="13"/>
      <c r="E548" s="13"/>
      <c r="H548" s="18"/>
    </row>
    <row r="549">
      <c r="B549" s="13"/>
      <c r="C549" s="13"/>
      <c r="D549" s="13"/>
      <c r="E549" s="13"/>
      <c r="H549" s="18"/>
    </row>
    <row r="550">
      <c r="B550" s="13"/>
      <c r="C550" s="13"/>
      <c r="D550" s="13"/>
      <c r="E550" s="13"/>
      <c r="H550" s="18"/>
    </row>
    <row r="551">
      <c r="B551" s="13"/>
      <c r="C551" s="13"/>
      <c r="D551" s="13"/>
      <c r="E551" s="13"/>
      <c r="H551" s="18"/>
    </row>
    <row r="552">
      <c r="B552" s="13"/>
      <c r="C552" s="13"/>
      <c r="D552" s="13"/>
      <c r="E552" s="13"/>
      <c r="H552" s="18"/>
    </row>
    <row r="553">
      <c r="B553" s="13"/>
      <c r="C553" s="13"/>
      <c r="D553" s="13"/>
      <c r="E553" s="13"/>
      <c r="H553" s="18"/>
    </row>
    <row r="554">
      <c r="B554" s="13"/>
      <c r="C554" s="13"/>
      <c r="D554" s="13"/>
      <c r="E554" s="13"/>
      <c r="H554" s="18"/>
    </row>
    <row r="555">
      <c r="B555" s="13"/>
      <c r="C555" s="13"/>
      <c r="D555" s="13"/>
      <c r="E555" s="13"/>
      <c r="H555" s="18"/>
    </row>
    <row r="556">
      <c r="B556" s="13"/>
      <c r="C556" s="13"/>
      <c r="D556" s="13"/>
      <c r="E556" s="13"/>
      <c r="H556" s="18"/>
    </row>
    <row r="557">
      <c r="B557" s="13"/>
      <c r="C557" s="13"/>
      <c r="D557" s="13"/>
      <c r="E557" s="13"/>
      <c r="H557" s="18"/>
    </row>
    <row r="558">
      <c r="B558" s="13"/>
      <c r="C558" s="13"/>
      <c r="D558" s="13"/>
      <c r="E558" s="13"/>
      <c r="H558" s="18"/>
    </row>
    <row r="559">
      <c r="B559" s="13"/>
      <c r="C559" s="13"/>
      <c r="D559" s="13"/>
      <c r="E559" s="13"/>
      <c r="H559" s="18"/>
    </row>
    <row r="560">
      <c r="B560" s="13"/>
      <c r="C560" s="13"/>
      <c r="D560" s="13"/>
      <c r="E560" s="13"/>
      <c r="H560" s="18"/>
    </row>
    <row r="561">
      <c r="B561" s="13"/>
      <c r="C561" s="13"/>
      <c r="D561" s="13"/>
      <c r="E561" s="13"/>
      <c r="H561" s="18"/>
    </row>
    <row r="562">
      <c r="B562" s="13"/>
      <c r="C562" s="13"/>
      <c r="D562" s="13"/>
      <c r="E562" s="13"/>
      <c r="H562" s="18"/>
    </row>
    <row r="563">
      <c r="B563" s="13"/>
      <c r="C563" s="13"/>
      <c r="D563" s="13"/>
      <c r="E563" s="13"/>
      <c r="H563" s="18"/>
    </row>
    <row r="564">
      <c r="B564" s="13"/>
      <c r="C564" s="13"/>
      <c r="D564" s="13"/>
      <c r="E564" s="13"/>
      <c r="H564" s="18"/>
    </row>
    <row r="565">
      <c r="B565" s="13"/>
      <c r="C565" s="13"/>
      <c r="D565" s="13"/>
      <c r="E565" s="13"/>
      <c r="H565" s="18"/>
    </row>
    <row r="566">
      <c r="B566" s="13"/>
      <c r="C566" s="13"/>
      <c r="D566" s="13"/>
      <c r="E566" s="13"/>
      <c r="H566" s="18"/>
    </row>
    <row r="567">
      <c r="B567" s="13"/>
      <c r="C567" s="13"/>
      <c r="D567" s="13"/>
      <c r="E567" s="13"/>
      <c r="H567" s="18"/>
    </row>
    <row r="568">
      <c r="B568" s="13"/>
      <c r="C568" s="13"/>
      <c r="D568" s="13"/>
      <c r="E568" s="13"/>
      <c r="H568" s="18"/>
    </row>
    <row r="569">
      <c r="B569" s="13"/>
      <c r="C569" s="13"/>
      <c r="D569" s="13"/>
      <c r="E569" s="13"/>
      <c r="H569" s="18"/>
    </row>
    <row r="570">
      <c r="B570" s="13"/>
      <c r="C570" s="13"/>
      <c r="D570" s="13"/>
      <c r="E570" s="13"/>
      <c r="H570" s="18"/>
    </row>
    <row r="571">
      <c r="B571" s="13"/>
      <c r="C571" s="13"/>
      <c r="D571" s="13"/>
      <c r="E571" s="13"/>
      <c r="H571" s="18"/>
    </row>
    <row r="572">
      <c r="B572" s="13"/>
      <c r="C572" s="13"/>
      <c r="D572" s="13"/>
      <c r="E572" s="13"/>
      <c r="H572" s="18"/>
    </row>
    <row r="573">
      <c r="B573" s="13"/>
      <c r="C573" s="13"/>
      <c r="D573" s="13"/>
      <c r="E573" s="13"/>
      <c r="H573" s="18"/>
    </row>
    <row r="574">
      <c r="B574" s="13"/>
      <c r="C574" s="13"/>
      <c r="D574" s="13"/>
      <c r="E574" s="13"/>
      <c r="H574" s="18"/>
    </row>
    <row r="575">
      <c r="B575" s="13"/>
      <c r="C575" s="13"/>
      <c r="D575" s="13"/>
      <c r="E575" s="13"/>
      <c r="H575" s="18"/>
    </row>
    <row r="576">
      <c r="B576" s="13"/>
      <c r="C576" s="13"/>
      <c r="D576" s="13"/>
      <c r="E576" s="13"/>
      <c r="H576" s="18"/>
    </row>
    <row r="577">
      <c r="B577" s="13"/>
      <c r="C577" s="13"/>
      <c r="D577" s="13"/>
      <c r="E577" s="13"/>
      <c r="H577" s="18"/>
    </row>
    <row r="578">
      <c r="B578" s="13"/>
      <c r="C578" s="13"/>
      <c r="D578" s="13"/>
      <c r="E578" s="13"/>
      <c r="H578" s="18"/>
    </row>
    <row r="579">
      <c r="B579" s="13"/>
      <c r="C579" s="13"/>
      <c r="D579" s="13"/>
      <c r="E579" s="13"/>
      <c r="H579" s="18"/>
    </row>
    <row r="580">
      <c r="B580" s="13"/>
      <c r="C580" s="13"/>
      <c r="D580" s="13"/>
      <c r="E580" s="13"/>
      <c r="H580" s="18"/>
    </row>
    <row r="581">
      <c r="B581" s="13"/>
      <c r="C581" s="13"/>
      <c r="D581" s="13"/>
      <c r="E581" s="13"/>
      <c r="H581" s="18"/>
    </row>
    <row r="582">
      <c r="B582" s="13"/>
      <c r="C582" s="13"/>
      <c r="D582" s="13"/>
      <c r="E582" s="13"/>
      <c r="H582" s="18"/>
    </row>
    <row r="583">
      <c r="B583" s="13"/>
      <c r="C583" s="13"/>
      <c r="D583" s="13"/>
      <c r="E583" s="13"/>
      <c r="H583" s="18"/>
    </row>
    <row r="584">
      <c r="B584" s="13"/>
      <c r="C584" s="13"/>
      <c r="D584" s="13"/>
      <c r="E584" s="13"/>
      <c r="H584" s="18"/>
    </row>
    <row r="585">
      <c r="B585" s="13"/>
      <c r="C585" s="13"/>
      <c r="D585" s="13"/>
      <c r="E585" s="13"/>
      <c r="H585" s="18"/>
    </row>
    <row r="586">
      <c r="B586" s="13"/>
      <c r="C586" s="13"/>
      <c r="D586" s="13"/>
      <c r="E586" s="13"/>
      <c r="H586" s="18"/>
    </row>
    <row r="587">
      <c r="B587" s="13"/>
      <c r="C587" s="13"/>
      <c r="D587" s="13"/>
      <c r="E587" s="13"/>
      <c r="H587" s="18"/>
    </row>
    <row r="588">
      <c r="B588" s="13"/>
      <c r="C588" s="13"/>
      <c r="D588" s="13"/>
      <c r="E588" s="13"/>
      <c r="H588" s="18"/>
    </row>
    <row r="589">
      <c r="B589" s="13"/>
      <c r="C589" s="13"/>
      <c r="D589" s="13"/>
      <c r="E589" s="13"/>
      <c r="H589" s="18"/>
    </row>
    <row r="590">
      <c r="B590" s="13"/>
      <c r="C590" s="13"/>
      <c r="D590" s="13"/>
      <c r="E590" s="13"/>
      <c r="H590" s="18"/>
    </row>
    <row r="591">
      <c r="B591" s="13"/>
      <c r="C591" s="13"/>
      <c r="D591" s="13"/>
      <c r="E591" s="13"/>
      <c r="H591" s="18"/>
    </row>
    <row r="592">
      <c r="B592" s="13"/>
      <c r="C592" s="13"/>
      <c r="D592" s="13"/>
      <c r="E592" s="13"/>
      <c r="H592" s="18"/>
    </row>
    <row r="593">
      <c r="B593" s="13"/>
      <c r="C593" s="13"/>
      <c r="D593" s="13"/>
      <c r="E593" s="13"/>
      <c r="H593" s="18"/>
    </row>
    <row r="594">
      <c r="B594" s="13"/>
      <c r="C594" s="13"/>
      <c r="D594" s="13"/>
      <c r="E594" s="13"/>
      <c r="H594" s="18"/>
    </row>
    <row r="595">
      <c r="B595" s="13"/>
      <c r="C595" s="13"/>
      <c r="D595" s="13"/>
      <c r="E595" s="13"/>
      <c r="H595" s="18"/>
    </row>
    <row r="596">
      <c r="B596" s="13"/>
      <c r="C596" s="13"/>
      <c r="D596" s="13"/>
      <c r="E596" s="13"/>
      <c r="H596" s="18"/>
    </row>
    <row r="597">
      <c r="B597" s="13"/>
      <c r="C597" s="13"/>
      <c r="D597" s="13"/>
      <c r="E597" s="13"/>
      <c r="H597" s="18"/>
    </row>
    <row r="598">
      <c r="B598" s="13"/>
      <c r="C598" s="13"/>
      <c r="D598" s="13"/>
      <c r="E598" s="13"/>
      <c r="H598" s="18"/>
    </row>
    <row r="599">
      <c r="B599" s="13"/>
      <c r="C599" s="13"/>
      <c r="D599" s="13"/>
      <c r="E599" s="13"/>
      <c r="H599" s="18"/>
    </row>
    <row r="600">
      <c r="B600" s="13"/>
      <c r="C600" s="13"/>
      <c r="D600" s="13"/>
      <c r="E600" s="13"/>
      <c r="H600" s="18"/>
    </row>
    <row r="601">
      <c r="B601" s="13"/>
      <c r="C601" s="13"/>
      <c r="D601" s="13"/>
      <c r="E601" s="13"/>
      <c r="H601" s="18"/>
    </row>
    <row r="602">
      <c r="B602" s="13"/>
      <c r="C602" s="13"/>
      <c r="D602" s="13"/>
      <c r="E602" s="13"/>
      <c r="H602" s="18"/>
    </row>
    <row r="603">
      <c r="B603" s="13"/>
      <c r="C603" s="13"/>
      <c r="D603" s="13"/>
      <c r="E603" s="13"/>
      <c r="H603" s="18"/>
    </row>
    <row r="604">
      <c r="B604" s="13"/>
      <c r="C604" s="13"/>
      <c r="D604" s="13"/>
      <c r="E604" s="13"/>
      <c r="H604" s="18"/>
    </row>
    <row r="605">
      <c r="B605" s="13"/>
      <c r="C605" s="13"/>
      <c r="D605" s="13"/>
      <c r="E605" s="13"/>
      <c r="H605" s="18"/>
    </row>
    <row r="606">
      <c r="B606" s="13"/>
      <c r="C606" s="13"/>
      <c r="D606" s="13"/>
      <c r="E606" s="13"/>
      <c r="H606" s="18"/>
    </row>
    <row r="607">
      <c r="B607" s="13"/>
      <c r="C607" s="13"/>
      <c r="D607" s="13"/>
      <c r="E607" s="13"/>
      <c r="H607" s="18"/>
    </row>
    <row r="608">
      <c r="B608" s="13"/>
      <c r="C608" s="13"/>
      <c r="D608" s="13"/>
      <c r="E608" s="13"/>
      <c r="H608" s="18"/>
    </row>
    <row r="609">
      <c r="B609" s="13"/>
      <c r="C609" s="13"/>
      <c r="D609" s="13"/>
      <c r="E609" s="13"/>
      <c r="H609" s="18"/>
    </row>
    <row r="610">
      <c r="B610" s="13"/>
      <c r="C610" s="13"/>
      <c r="D610" s="13"/>
      <c r="E610" s="13"/>
      <c r="H610" s="18"/>
    </row>
    <row r="611">
      <c r="B611" s="13"/>
      <c r="C611" s="13"/>
      <c r="D611" s="13"/>
      <c r="E611" s="13"/>
      <c r="H611" s="18"/>
    </row>
    <row r="612">
      <c r="B612" s="13"/>
      <c r="C612" s="13"/>
      <c r="D612" s="13"/>
      <c r="E612" s="13"/>
      <c r="H612" s="18"/>
    </row>
    <row r="613">
      <c r="B613" s="13"/>
      <c r="C613" s="13"/>
      <c r="D613" s="13"/>
      <c r="E613" s="13"/>
      <c r="H613" s="18"/>
    </row>
    <row r="614">
      <c r="B614" s="13"/>
      <c r="C614" s="13"/>
      <c r="D614" s="13"/>
      <c r="E614" s="13"/>
      <c r="H614" s="18"/>
    </row>
    <row r="615">
      <c r="B615" s="13"/>
      <c r="C615" s="13"/>
      <c r="D615" s="13"/>
      <c r="E615" s="13"/>
      <c r="H615" s="18"/>
    </row>
    <row r="616">
      <c r="B616" s="13"/>
      <c r="C616" s="13"/>
      <c r="D616" s="13"/>
      <c r="E616" s="13"/>
      <c r="H616" s="18"/>
    </row>
    <row r="617">
      <c r="B617" s="13"/>
      <c r="C617" s="13"/>
      <c r="D617" s="13"/>
      <c r="E617" s="13"/>
      <c r="H617" s="18"/>
    </row>
    <row r="618">
      <c r="B618" s="13"/>
      <c r="C618" s="13"/>
      <c r="D618" s="13"/>
      <c r="E618" s="13"/>
      <c r="H618" s="18"/>
    </row>
    <row r="619">
      <c r="B619" s="13"/>
      <c r="C619" s="13"/>
      <c r="D619" s="13"/>
      <c r="E619" s="13"/>
      <c r="H619" s="18"/>
    </row>
    <row r="620">
      <c r="B620" s="13"/>
      <c r="C620" s="13"/>
      <c r="D620" s="13"/>
      <c r="E620" s="13"/>
      <c r="H620" s="18"/>
    </row>
    <row r="621">
      <c r="B621" s="13"/>
      <c r="C621" s="13"/>
      <c r="D621" s="13"/>
      <c r="E621" s="13"/>
      <c r="H621" s="18"/>
    </row>
    <row r="622">
      <c r="B622" s="13"/>
      <c r="C622" s="13"/>
      <c r="D622" s="13"/>
      <c r="E622" s="13"/>
      <c r="H622" s="18"/>
    </row>
    <row r="623">
      <c r="B623" s="13"/>
      <c r="C623" s="13"/>
      <c r="D623" s="13"/>
      <c r="E623" s="13"/>
      <c r="H623" s="18"/>
    </row>
    <row r="624">
      <c r="B624" s="13"/>
      <c r="C624" s="13"/>
      <c r="D624" s="13"/>
      <c r="E624" s="13"/>
      <c r="H624" s="18"/>
    </row>
    <row r="625">
      <c r="B625" s="13"/>
      <c r="C625" s="13"/>
      <c r="D625" s="13"/>
      <c r="E625" s="13"/>
      <c r="H625" s="18"/>
    </row>
    <row r="626">
      <c r="B626" s="13"/>
      <c r="C626" s="13"/>
      <c r="D626" s="13"/>
      <c r="E626" s="13"/>
      <c r="H626" s="18"/>
    </row>
    <row r="627">
      <c r="B627" s="13"/>
      <c r="C627" s="13"/>
      <c r="D627" s="13"/>
      <c r="E627" s="13"/>
      <c r="H627" s="18"/>
    </row>
    <row r="628">
      <c r="B628" s="13"/>
      <c r="C628" s="13"/>
      <c r="D628" s="13"/>
      <c r="E628" s="13"/>
      <c r="H628" s="18"/>
    </row>
    <row r="629">
      <c r="B629" s="13"/>
      <c r="C629" s="13"/>
      <c r="D629" s="13"/>
      <c r="E629" s="13"/>
      <c r="H629" s="18"/>
    </row>
    <row r="630">
      <c r="B630" s="13"/>
      <c r="C630" s="13"/>
      <c r="D630" s="13"/>
      <c r="E630" s="13"/>
      <c r="H630" s="18"/>
    </row>
    <row r="631">
      <c r="B631" s="13"/>
      <c r="C631" s="13"/>
      <c r="D631" s="13"/>
      <c r="E631" s="13"/>
      <c r="H631" s="18"/>
    </row>
    <row r="632">
      <c r="B632" s="13"/>
      <c r="C632" s="13"/>
      <c r="D632" s="13"/>
      <c r="E632" s="13"/>
      <c r="H632" s="18"/>
    </row>
    <row r="633">
      <c r="B633" s="13"/>
      <c r="C633" s="13"/>
      <c r="D633" s="13"/>
      <c r="E633" s="13"/>
      <c r="H633" s="18"/>
    </row>
    <row r="634">
      <c r="B634" s="13"/>
      <c r="C634" s="13"/>
      <c r="D634" s="13"/>
      <c r="E634" s="13"/>
      <c r="H634" s="18"/>
    </row>
    <row r="635">
      <c r="B635" s="13"/>
      <c r="C635" s="13"/>
      <c r="D635" s="13"/>
      <c r="E635" s="13"/>
      <c r="H635" s="18"/>
    </row>
    <row r="636">
      <c r="B636" s="13"/>
      <c r="C636" s="13"/>
      <c r="D636" s="13"/>
      <c r="E636" s="13"/>
      <c r="H636" s="18"/>
    </row>
    <row r="637">
      <c r="B637" s="13"/>
      <c r="C637" s="13"/>
      <c r="D637" s="13"/>
      <c r="E637" s="13"/>
      <c r="H637" s="18"/>
    </row>
    <row r="638">
      <c r="B638" s="13"/>
      <c r="C638" s="13"/>
      <c r="D638" s="13"/>
      <c r="E638" s="13"/>
      <c r="H638" s="18"/>
    </row>
    <row r="639">
      <c r="B639" s="13"/>
      <c r="C639" s="13"/>
      <c r="D639" s="13"/>
      <c r="E639" s="13"/>
      <c r="H639" s="18"/>
    </row>
    <row r="640">
      <c r="B640" s="13"/>
      <c r="C640" s="13"/>
      <c r="D640" s="13"/>
      <c r="E640" s="13"/>
      <c r="H640" s="18"/>
    </row>
    <row r="641">
      <c r="B641" s="13"/>
      <c r="C641" s="13"/>
      <c r="D641" s="13"/>
      <c r="E641" s="13"/>
      <c r="H641" s="18"/>
    </row>
    <row r="642">
      <c r="B642" s="13"/>
      <c r="C642" s="13"/>
      <c r="D642" s="13"/>
      <c r="E642" s="13"/>
      <c r="H642" s="18"/>
    </row>
    <row r="643">
      <c r="B643" s="13"/>
      <c r="C643" s="13"/>
      <c r="D643" s="13"/>
      <c r="E643" s="13"/>
      <c r="H643" s="18"/>
    </row>
    <row r="644">
      <c r="B644" s="13"/>
      <c r="C644" s="13"/>
      <c r="D644" s="13"/>
      <c r="E644" s="13"/>
      <c r="H644" s="18"/>
    </row>
    <row r="645">
      <c r="B645" s="13"/>
      <c r="C645" s="13"/>
      <c r="D645" s="13"/>
      <c r="E645" s="13"/>
      <c r="H645" s="18"/>
    </row>
    <row r="646">
      <c r="B646" s="13"/>
      <c r="C646" s="13"/>
      <c r="D646" s="13"/>
      <c r="E646" s="13"/>
      <c r="H646" s="18"/>
    </row>
    <row r="647">
      <c r="B647" s="13"/>
      <c r="C647" s="13"/>
      <c r="D647" s="13"/>
      <c r="E647" s="13"/>
      <c r="H647" s="18"/>
    </row>
    <row r="648">
      <c r="B648" s="13"/>
      <c r="C648" s="13"/>
      <c r="D648" s="13"/>
      <c r="E648" s="13"/>
      <c r="H648" s="18"/>
    </row>
    <row r="649">
      <c r="B649" s="13"/>
      <c r="C649" s="13"/>
      <c r="D649" s="13"/>
      <c r="E649" s="13"/>
      <c r="H649" s="18"/>
    </row>
    <row r="650">
      <c r="B650" s="13"/>
      <c r="C650" s="13"/>
      <c r="D650" s="13"/>
      <c r="E650" s="13"/>
      <c r="H650" s="18"/>
    </row>
    <row r="651">
      <c r="B651" s="13"/>
      <c r="C651" s="13"/>
      <c r="D651" s="13"/>
      <c r="E651" s="13"/>
      <c r="H651" s="18"/>
    </row>
    <row r="652">
      <c r="B652" s="13"/>
      <c r="C652" s="13"/>
      <c r="D652" s="13"/>
      <c r="E652" s="13"/>
      <c r="H652" s="18"/>
    </row>
    <row r="653">
      <c r="B653" s="13"/>
      <c r="C653" s="13"/>
      <c r="D653" s="13"/>
      <c r="E653" s="13"/>
      <c r="H653" s="18"/>
    </row>
    <row r="654">
      <c r="B654" s="13"/>
      <c r="C654" s="13"/>
      <c r="D654" s="13"/>
      <c r="E654" s="13"/>
      <c r="H654" s="18"/>
    </row>
    <row r="655">
      <c r="B655" s="13"/>
      <c r="C655" s="13"/>
      <c r="D655" s="13"/>
      <c r="E655" s="13"/>
      <c r="H655" s="18"/>
    </row>
    <row r="656">
      <c r="B656" s="13"/>
      <c r="C656" s="13"/>
      <c r="D656" s="13"/>
      <c r="E656" s="13"/>
      <c r="H656" s="18"/>
    </row>
    <row r="657">
      <c r="B657" s="13"/>
      <c r="C657" s="13"/>
      <c r="D657" s="13"/>
      <c r="E657" s="13"/>
      <c r="H657" s="18"/>
    </row>
    <row r="658">
      <c r="B658" s="13"/>
      <c r="C658" s="13"/>
      <c r="D658" s="13"/>
      <c r="E658" s="13"/>
      <c r="H658" s="18"/>
    </row>
    <row r="659">
      <c r="B659" s="13"/>
      <c r="C659" s="13"/>
      <c r="D659" s="13"/>
      <c r="E659" s="13"/>
      <c r="H659" s="18"/>
    </row>
    <row r="660">
      <c r="B660" s="13"/>
      <c r="C660" s="13"/>
      <c r="D660" s="13"/>
      <c r="E660" s="13"/>
      <c r="H660" s="18"/>
    </row>
    <row r="661">
      <c r="B661" s="13"/>
      <c r="C661" s="13"/>
      <c r="D661" s="13"/>
      <c r="E661" s="13"/>
      <c r="H661" s="18"/>
    </row>
    <row r="662">
      <c r="B662" s="13"/>
      <c r="C662" s="13"/>
      <c r="D662" s="13"/>
      <c r="E662" s="13"/>
      <c r="H662" s="18"/>
    </row>
    <row r="663">
      <c r="B663" s="13"/>
      <c r="C663" s="13"/>
      <c r="D663" s="13"/>
      <c r="E663" s="13"/>
      <c r="H663" s="18"/>
    </row>
    <row r="664">
      <c r="B664" s="13"/>
      <c r="C664" s="13"/>
      <c r="D664" s="13"/>
      <c r="E664" s="13"/>
      <c r="H664" s="18"/>
    </row>
    <row r="665">
      <c r="B665" s="13"/>
      <c r="C665" s="13"/>
      <c r="D665" s="13"/>
      <c r="E665" s="13"/>
      <c r="H665" s="18"/>
    </row>
    <row r="666">
      <c r="B666" s="13"/>
      <c r="C666" s="13"/>
      <c r="D666" s="13"/>
      <c r="E666" s="13"/>
      <c r="H666" s="18"/>
    </row>
    <row r="667">
      <c r="B667" s="13"/>
      <c r="C667" s="13"/>
      <c r="D667" s="13"/>
      <c r="E667" s="13"/>
      <c r="H667" s="18"/>
    </row>
    <row r="668">
      <c r="B668" s="13"/>
      <c r="C668" s="13"/>
      <c r="D668" s="13"/>
      <c r="E668" s="13"/>
      <c r="H668" s="18"/>
    </row>
    <row r="669">
      <c r="B669" s="13"/>
      <c r="C669" s="13"/>
      <c r="D669" s="13"/>
      <c r="E669" s="13"/>
      <c r="H669" s="18"/>
    </row>
    <row r="670">
      <c r="B670" s="13"/>
      <c r="C670" s="13"/>
      <c r="D670" s="13"/>
      <c r="E670" s="13"/>
      <c r="H670" s="18"/>
    </row>
    <row r="671">
      <c r="B671" s="13"/>
      <c r="C671" s="13"/>
      <c r="D671" s="13"/>
      <c r="E671" s="13"/>
      <c r="H671" s="18"/>
    </row>
    <row r="672">
      <c r="B672" s="13"/>
      <c r="C672" s="13"/>
      <c r="D672" s="13"/>
      <c r="E672" s="13"/>
      <c r="H672" s="18"/>
    </row>
    <row r="673">
      <c r="B673" s="13"/>
      <c r="C673" s="13"/>
      <c r="D673" s="13"/>
      <c r="E673" s="13"/>
      <c r="H673" s="18"/>
    </row>
    <row r="674">
      <c r="B674" s="13"/>
      <c r="C674" s="13"/>
      <c r="D674" s="13"/>
      <c r="E674" s="13"/>
      <c r="H674" s="18"/>
    </row>
    <row r="675">
      <c r="B675" s="13"/>
      <c r="C675" s="13"/>
      <c r="D675" s="13"/>
      <c r="E675" s="13"/>
      <c r="H675" s="18"/>
    </row>
    <row r="676">
      <c r="B676" s="13"/>
      <c r="C676" s="13"/>
      <c r="D676" s="13"/>
      <c r="E676" s="13"/>
      <c r="H676" s="18"/>
    </row>
    <row r="677">
      <c r="B677" s="13"/>
      <c r="C677" s="13"/>
      <c r="D677" s="13"/>
      <c r="E677" s="13"/>
      <c r="H677" s="18"/>
    </row>
    <row r="678">
      <c r="B678" s="13"/>
      <c r="C678" s="13"/>
      <c r="D678" s="13"/>
      <c r="E678" s="13"/>
      <c r="H678" s="18"/>
    </row>
    <row r="679">
      <c r="B679" s="13"/>
      <c r="C679" s="13"/>
      <c r="D679" s="13"/>
      <c r="E679" s="13"/>
      <c r="H679" s="18"/>
    </row>
    <row r="680">
      <c r="B680" s="13"/>
      <c r="C680" s="13"/>
      <c r="D680" s="13"/>
      <c r="E680" s="13"/>
      <c r="H680" s="18"/>
    </row>
    <row r="681">
      <c r="B681" s="13"/>
      <c r="C681" s="13"/>
      <c r="D681" s="13"/>
      <c r="E681" s="13"/>
      <c r="H681" s="18"/>
    </row>
    <row r="682">
      <c r="B682" s="13"/>
      <c r="C682" s="13"/>
      <c r="D682" s="13"/>
      <c r="E682" s="13"/>
      <c r="H682" s="18"/>
    </row>
    <row r="683">
      <c r="B683" s="13"/>
      <c r="C683" s="13"/>
      <c r="D683" s="13"/>
      <c r="E683" s="13"/>
      <c r="H683" s="18"/>
    </row>
    <row r="684">
      <c r="B684" s="13"/>
      <c r="C684" s="13"/>
      <c r="D684" s="13"/>
      <c r="E684" s="13"/>
      <c r="H684" s="18"/>
    </row>
    <row r="685">
      <c r="B685" s="13"/>
      <c r="C685" s="13"/>
      <c r="D685" s="13"/>
      <c r="E685" s="13"/>
      <c r="H685" s="18"/>
    </row>
    <row r="686">
      <c r="B686" s="13"/>
      <c r="C686" s="13"/>
      <c r="D686" s="13"/>
      <c r="E686" s="13"/>
      <c r="H686" s="18"/>
    </row>
    <row r="687">
      <c r="B687" s="13"/>
      <c r="C687" s="13"/>
      <c r="D687" s="13"/>
      <c r="E687" s="13"/>
      <c r="H687" s="18"/>
    </row>
    <row r="688">
      <c r="B688" s="13"/>
      <c r="C688" s="13"/>
      <c r="D688" s="13"/>
      <c r="E688" s="13"/>
      <c r="H688" s="18"/>
    </row>
    <row r="689">
      <c r="B689" s="13"/>
      <c r="C689" s="13"/>
      <c r="D689" s="13"/>
      <c r="E689" s="13"/>
      <c r="H689" s="18"/>
    </row>
    <row r="690">
      <c r="B690" s="13"/>
      <c r="C690" s="13"/>
      <c r="D690" s="13"/>
      <c r="E690" s="13"/>
      <c r="H690" s="18"/>
    </row>
    <row r="691">
      <c r="B691" s="13"/>
      <c r="C691" s="13"/>
      <c r="D691" s="13"/>
      <c r="E691" s="13"/>
      <c r="H691" s="18"/>
    </row>
    <row r="692">
      <c r="B692" s="13"/>
      <c r="C692" s="13"/>
      <c r="D692" s="13"/>
      <c r="E692" s="13"/>
      <c r="H692" s="18"/>
    </row>
    <row r="693">
      <c r="B693" s="13"/>
      <c r="C693" s="13"/>
      <c r="D693" s="13"/>
      <c r="E693" s="13"/>
      <c r="H693" s="18"/>
    </row>
    <row r="694">
      <c r="B694" s="13"/>
      <c r="C694" s="13"/>
      <c r="D694" s="13"/>
      <c r="E694" s="13"/>
      <c r="H694" s="18"/>
    </row>
    <row r="695">
      <c r="B695" s="13"/>
      <c r="C695" s="13"/>
      <c r="D695" s="13"/>
      <c r="E695" s="13"/>
      <c r="H695" s="18"/>
    </row>
    <row r="696">
      <c r="B696" s="13"/>
      <c r="C696" s="13"/>
      <c r="D696" s="13"/>
      <c r="E696" s="13"/>
      <c r="H696" s="18"/>
    </row>
    <row r="697">
      <c r="B697" s="13"/>
      <c r="C697" s="13"/>
      <c r="D697" s="13"/>
      <c r="E697" s="13"/>
      <c r="H697" s="18"/>
    </row>
    <row r="698">
      <c r="B698" s="13"/>
      <c r="C698" s="13"/>
      <c r="D698" s="13"/>
      <c r="E698" s="13"/>
      <c r="H698" s="18"/>
    </row>
    <row r="699">
      <c r="B699" s="13"/>
      <c r="C699" s="13"/>
      <c r="D699" s="13"/>
      <c r="E699" s="13"/>
      <c r="H699" s="18"/>
    </row>
    <row r="700">
      <c r="B700" s="13"/>
      <c r="C700" s="13"/>
      <c r="D700" s="13"/>
      <c r="E700" s="13"/>
      <c r="H700" s="18"/>
    </row>
    <row r="701">
      <c r="B701" s="13"/>
      <c r="C701" s="13"/>
      <c r="D701" s="13"/>
      <c r="E701" s="13"/>
      <c r="H701" s="18"/>
    </row>
    <row r="702">
      <c r="B702" s="13"/>
      <c r="C702" s="13"/>
      <c r="D702" s="13"/>
      <c r="E702" s="13"/>
      <c r="H702" s="18"/>
    </row>
    <row r="703">
      <c r="B703" s="13"/>
      <c r="C703" s="13"/>
      <c r="D703" s="13"/>
      <c r="E703" s="13"/>
      <c r="H703" s="18"/>
    </row>
    <row r="704">
      <c r="B704" s="13"/>
      <c r="C704" s="13"/>
      <c r="D704" s="13"/>
      <c r="E704" s="13"/>
      <c r="H704" s="18"/>
    </row>
    <row r="705">
      <c r="B705" s="13"/>
      <c r="C705" s="13"/>
      <c r="D705" s="13"/>
      <c r="E705" s="13"/>
      <c r="H705" s="18"/>
    </row>
    <row r="706">
      <c r="B706" s="13"/>
      <c r="C706" s="13"/>
      <c r="D706" s="13"/>
      <c r="E706" s="13"/>
      <c r="H706" s="18"/>
    </row>
    <row r="707">
      <c r="B707" s="13"/>
      <c r="C707" s="13"/>
      <c r="D707" s="13"/>
      <c r="E707" s="13"/>
      <c r="H707" s="18"/>
    </row>
    <row r="708">
      <c r="B708" s="13"/>
      <c r="C708" s="13"/>
      <c r="D708" s="13"/>
      <c r="E708" s="13"/>
      <c r="H708" s="18"/>
    </row>
    <row r="709">
      <c r="B709" s="13"/>
      <c r="C709" s="13"/>
      <c r="D709" s="13"/>
      <c r="E709" s="13"/>
      <c r="H709" s="18"/>
    </row>
    <row r="710">
      <c r="B710" s="13"/>
      <c r="C710" s="13"/>
      <c r="D710" s="13"/>
      <c r="E710" s="13"/>
      <c r="H710" s="18"/>
    </row>
    <row r="711">
      <c r="B711" s="13"/>
      <c r="C711" s="13"/>
      <c r="D711" s="13"/>
      <c r="E711" s="13"/>
      <c r="H711" s="18"/>
    </row>
    <row r="712">
      <c r="B712" s="13"/>
      <c r="C712" s="13"/>
      <c r="D712" s="13"/>
      <c r="E712" s="13"/>
      <c r="H712" s="18"/>
    </row>
    <row r="713">
      <c r="B713" s="13"/>
      <c r="C713" s="13"/>
      <c r="D713" s="13"/>
      <c r="E713" s="13"/>
      <c r="H713" s="18"/>
    </row>
    <row r="714">
      <c r="B714" s="13"/>
      <c r="C714" s="13"/>
      <c r="D714" s="13"/>
      <c r="E714" s="13"/>
      <c r="H714" s="18"/>
    </row>
    <row r="715">
      <c r="B715" s="13"/>
      <c r="C715" s="13"/>
      <c r="D715" s="13"/>
      <c r="E715" s="13"/>
      <c r="H715" s="18"/>
    </row>
    <row r="716">
      <c r="B716" s="13"/>
      <c r="C716" s="13"/>
      <c r="D716" s="13"/>
      <c r="E716" s="13"/>
      <c r="H716" s="18"/>
    </row>
    <row r="717">
      <c r="B717" s="13"/>
      <c r="C717" s="13"/>
      <c r="D717" s="13"/>
      <c r="E717" s="13"/>
      <c r="H717" s="18"/>
    </row>
    <row r="718">
      <c r="B718" s="13"/>
      <c r="C718" s="13"/>
      <c r="D718" s="13"/>
      <c r="E718" s="13"/>
      <c r="H718" s="18"/>
    </row>
    <row r="719">
      <c r="B719" s="13"/>
      <c r="C719" s="13"/>
      <c r="D719" s="13"/>
      <c r="E719" s="13"/>
      <c r="H719" s="18"/>
    </row>
    <row r="720">
      <c r="B720" s="13"/>
      <c r="C720" s="13"/>
      <c r="D720" s="13"/>
      <c r="E720" s="13"/>
      <c r="H720" s="18"/>
    </row>
    <row r="721">
      <c r="B721" s="13"/>
      <c r="C721" s="13"/>
      <c r="D721" s="13"/>
      <c r="E721" s="13"/>
      <c r="H721" s="18"/>
    </row>
    <row r="722">
      <c r="B722" s="13"/>
      <c r="C722" s="13"/>
      <c r="D722" s="13"/>
      <c r="E722" s="13"/>
      <c r="H722" s="18"/>
    </row>
    <row r="723">
      <c r="B723" s="13"/>
      <c r="C723" s="13"/>
      <c r="D723" s="13"/>
      <c r="E723" s="13"/>
      <c r="H723" s="18"/>
    </row>
    <row r="724">
      <c r="B724" s="13"/>
      <c r="C724" s="13"/>
      <c r="D724" s="13"/>
      <c r="E724" s="13"/>
      <c r="H724" s="18"/>
    </row>
    <row r="725">
      <c r="B725" s="13"/>
      <c r="C725" s="13"/>
      <c r="D725" s="13"/>
      <c r="E725" s="13"/>
      <c r="H725" s="18"/>
    </row>
    <row r="726">
      <c r="B726" s="13"/>
      <c r="C726" s="13"/>
      <c r="D726" s="13"/>
      <c r="E726" s="13"/>
      <c r="H726" s="18"/>
    </row>
    <row r="727">
      <c r="B727" s="13"/>
      <c r="C727" s="13"/>
      <c r="D727" s="13"/>
      <c r="E727" s="13"/>
      <c r="H727" s="18"/>
    </row>
    <row r="728">
      <c r="B728" s="13"/>
      <c r="C728" s="13"/>
      <c r="D728" s="13"/>
      <c r="E728" s="13"/>
      <c r="H728" s="18"/>
    </row>
    <row r="729">
      <c r="B729" s="13"/>
      <c r="C729" s="13"/>
      <c r="D729" s="13"/>
      <c r="E729" s="13"/>
      <c r="H729" s="18"/>
    </row>
    <row r="730">
      <c r="B730" s="13"/>
      <c r="C730" s="13"/>
      <c r="D730" s="13"/>
      <c r="E730" s="13"/>
      <c r="H730" s="18"/>
    </row>
    <row r="731">
      <c r="B731" s="13"/>
      <c r="C731" s="13"/>
      <c r="D731" s="13"/>
      <c r="E731" s="13"/>
      <c r="H731" s="18"/>
    </row>
    <row r="732">
      <c r="B732" s="13"/>
      <c r="C732" s="13"/>
      <c r="D732" s="13"/>
      <c r="E732" s="13"/>
      <c r="H732" s="18"/>
    </row>
    <row r="733">
      <c r="B733" s="13"/>
      <c r="C733" s="13"/>
      <c r="D733" s="13"/>
      <c r="E733" s="13"/>
      <c r="H733" s="18"/>
    </row>
    <row r="734">
      <c r="B734" s="13"/>
      <c r="C734" s="13"/>
      <c r="D734" s="13"/>
      <c r="E734" s="13"/>
      <c r="H734" s="18"/>
    </row>
    <row r="735">
      <c r="B735" s="13"/>
      <c r="C735" s="13"/>
      <c r="D735" s="13"/>
      <c r="E735" s="13"/>
      <c r="H735" s="18"/>
    </row>
    <row r="736">
      <c r="B736" s="13"/>
      <c r="C736" s="13"/>
      <c r="D736" s="13"/>
      <c r="E736" s="13"/>
      <c r="H736" s="18"/>
    </row>
    <row r="737">
      <c r="B737" s="13"/>
      <c r="C737" s="13"/>
      <c r="D737" s="13"/>
      <c r="E737" s="13"/>
      <c r="H737" s="18"/>
    </row>
    <row r="738">
      <c r="B738" s="13"/>
      <c r="C738" s="13"/>
      <c r="D738" s="13"/>
      <c r="E738" s="13"/>
      <c r="H738" s="18"/>
    </row>
    <row r="739">
      <c r="B739" s="13"/>
      <c r="C739" s="13"/>
      <c r="D739" s="13"/>
      <c r="E739" s="13"/>
      <c r="H739" s="18"/>
    </row>
    <row r="740">
      <c r="B740" s="13"/>
      <c r="C740" s="13"/>
      <c r="D740" s="13"/>
      <c r="E740" s="13"/>
      <c r="H740" s="18"/>
    </row>
    <row r="741">
      <c r="B741" s="13"/>
      <c r="C741" s="13"/>
      <c r="D741" s="13"/>
      <c r="E741" s="13"/>
      <c r="H741" s="18"/>
    </row>
    <row r="742">
      <c r="B742" s="13"/>
      <c r="C742" s="13"/>
      <c r="D742" s="13"/>
      <c r="E742" s="13"/>
      <c r="H742" s="18"/>
    </row>
    <row r="743">
      <c r="B743" s="13"/>
      <c r="C743" s="13"/>
      <c r="D743" s="13"/>
      <c r="E743" s="13"/>
      <c r="H743" s="18"/>
    </row>
    <row r="744">
      <c r="B744" s="13"/>
      <c r="C744" s="13"/>
      <c r="D744" s="13"/>
      <c r="E744" s="13"/>
      <c r="H744" s="18"/>
    </row>
    <row r="745">
      <c r="B745" s="13"/>
      <c r="C745" s="13"/>
      <c r="D745" s="13"/>
      <c r="E745" s="13"/>
      <c r="H745" s="18"/>
    </row>
    <row r="746">
      <c r="B746" s="13"/>
      <c r="C746" s="13"/>
      <c r="D746" s="13"/>
      <c r="E746" s="13"/>
      <c r="H746" s="18"/>
    </row>
    <row r="747">
      <c r="B747" s="13"/>
      <c r="C747" s="13"/>
      <c r="D747" s="13"/>
      <c r="E747" s="13"/>
      <c r="H747" s="18"/>
    </row>
    <row r="748">
      <c r="B748" s="13"/>
      <c r="C748" s="13"/>
      <c r="D748" s="13"/>
      <c r="E748" s="13"/>
      <c r="H748" s="18"/>
    </row>
    <row r="749">
      <c r="B749" s="13"/>
      <c r="C749" s="13"/>
      <c r="D749" s="13"/>
      <c r="E749" s="13"/>
      <c r="H749" s="18"/>
    </row>
    <row r="750">
      <c r="B750" s="13"/>
      <c r="C750" s="13"/>
      <c r="D750" s="13"/>
      <c r="E750" s="13"/>
      <c r="H750" s="18"/>
    </row>
    <row r="751">
      <c r="B751" s="13"/>
      <c r="C751" s="13"/>
      <c r="D751" s="13"/>
      <c r="E751" s="13"/>
      <c r="H751" s="18"/>
    </row>
    <row r="752">
      <c r="B752" s="13"/>
      <c r="C752" s="13"/>
      <c r="D752" s="13"/>
      <c r="E752" s="13"/>
      <c r="H752" s="18"/>
    </row>
    <row r="753">
      <c r="B753" s="13"/>
      <c r="C753" s="13"/>
      <c r="D753" s="13"/>
      <c r="E753" s="13"/>
      <c r="H753" s="18"/>
    </row>
    <row r="754">
      <c r="B754" s="13"/>
      <c r="C754" s="13"/>
      <c r="D754" s="13"/>
      <c r="E754" s="13"/>
      <c r="H754" s="18"/>
    </row>
    <row r="755">
      <c r="B755" s="13"/>
      <c r="C755" s="13"/>
      <c r="D755" s="13"/>
      <c r="E755" s="13"/>
      <c r="H755" s="18"/>
    </row>
    <row r="756">
      <c r="B756" s="13"/>
      <c r="C756" s="13"/>
      <c r="D756" s="13"/>
      <c r="E756" s="13"/>
      <c r="H756" s="18"/>
    </row>
    <row r="757">
      <c r="B757" s="13"/>
      <c r="C757" s="13"/>
      <c r="D757" s="13"/>
      <c r="E757" s="13"/>
      <c r="H757" s="18"/>
    </row>
    <row r="758">
      <c r="B758" s="13"/>
      <c r="C758" s="13"/>
      <c r="D758" s="13"/>
      <c r="E758" s="13"/>
      <c r="H758" s="18"/>
    </row>
    <row r="759">
      <c r="B759" s="13"/>
      <c r="C759" s="13"/>
      <c r="D759" s="13"/>
      <c r="E759" s="13"/>
      <c r="H759" s="18"/>
    </row>
    <row r="760">
      <c r="B760" s="13"/>
      <c r="C760" s="13"/>
      <c r="D760" s="13"/>
      <c r="E760" s="13"/>
      <c r="H760" s="18"/>
    </row>
    <row r="761">
      <c r="B761" s="13"/>
      <c r="C761" s="13"/>
      <c r="D761" s="13"/>
      <c r="E761" s="13"/>
      <c r="H761" s="18"/>
    </row>
    <row r="762">
      <c r="B762" s="13"/>
      <c r="C762" s="13"/>
      <c r="D762" s="13"/>
      <c r="E762" s="13"/>
      <c r="H762" s="18"/>
    </row>
    <row r="763">
      <c r="B763" s="13"/>
      <c r="C763" s="13"/>
      <c r="D763" s="13"/>
      <c r="E763" s="13"/>
      <c r="H763" s="18"/>
    </row>
    <row r="764">
      <c r="B764" s="13"/>
      <c r="C764" s="13"/>
      <c r="D764" s="13"/>
      <c r="E764" s="13"/>
      <c r="H764" s="18"/>
    </row>
    <row r="765">
      <c r="B765" s="13"/>
      <c r="C765" s="13"/>
      <c r="D765" s="13"/>
      <c r="E765" s="13"/>
      <c r="H765" s="18"/>
    </row>
    <row r="766">
      <c r="B766" s="13"/>
      <c r="C766" s="13"/>
      <c r="D766" s="13"/>
      <c r="E766" s="13"/>
      <c r="H766" s="18"/>
    </row>
    <row r="767">
      <c r="B767" s="13"/>
      <c r="C767" s="13"/>
      <c r="D767" s="13"/>
      <c r="E767" s="13"/>
      <c r="H767" s="18"/>
    </row>
    <row r="768">
      <c r="B768" s="13"/>
      <c r="C768" s="13"/>
      <c r="D768" s="13"/>
      <c r="E768" s="13"/>
      <c r="H768" s="18"/>
    </row>
    <row r="769">
      <c r="B769" s="13"/>
      <c r="C769" s="13"/>
      <c r="D769" s="13"/>
      <c r="E769" s="13"/>
      <c r="H769" s="18"/>
    </row>
    <row r="770">
      <c r="B770" s="13"/>
      <c r="C770" s="13"/>
      <c r="D770" s="13"/>
      <c r="E770" s="13"/>
      <c r="H770" s="18"/>
    </row>
    <row r="771">
      <c r="B771" s="13"/>
      <c r="C771" s="13"/>
      <c r="D771" s="13"/>
      <c r="E771" s="13"/>
      <c r="H771" s="18"/>
    </row>
    <row r="772">
      <c r="B772" s="13"/>
      <c r="C772" s="13"/>
      <c r="D772" s="13"/>
      <c r="E772" s="13"/>
      <c r="H772" s="18"/>
    </row>
    <row r="773">
      <c r="B773" s="13"/>
      <c r="C773" s="13"/>
      <c r="D773" s="13"/>
      <c r="E773" s="13"/>
      <c r="H773" s="18"/>
    </row>
    <row r="774">
      <c r="B774" s="13"/>
      <c r="C774" s="13"/>
      <c r="D774" s="13"/>
      <c r="E774" s="13"/>
      <c r="H774" s="18"/>
    </row>
    <row r="775">
      <c r="B775" s="13"/>
      <c r="C775" s="13"/>
      <c r="D775" s="13"/>
      <c r="E775" s="13"/>
      <c r="H775" s="18"/>
    </row>
    <row r="776">
      <c r="B776" s="13"/>
      <c r="C776" s="13"/>
      <c r="D776" s="13"/>
      <c r="E776" s="13"/>
      <c r="H776" s="18"/>
    </row>
    <row r="777">
      <c r="B777" s="13"/>
      <c r="C777" s="13"/>
      <c r="D777" s="13"/>
      <c r="E777" s="13"/>
      <c r="H777" s="18"/>
    </row>
    <row r="778">
      <c r="B778" s="13"/>
      <c r="C778" s="13"/>
      <c r="D778" s="13"/>
      <c r="E778" s="13"/>
      <c r="H778" s="18"/>
    </row>
    <row r="779">
      <c r="B779" s="13"/>
      <c r="C779" s="13"/>
      <c r="D779" s="13"/>
      <c r="E779" s="13"/>
      <c r="H779" s="18"/>
    </row>
    <row r="780">
      <c r="B780" s="13"/>
      <c r="C780" s="13"/>
      <c r="D780" s="13"/>
      <c r="E780" s="13"/>
      <c r="H780" s="18"/>
    </row>
    <row r="781">
      <c r="B781" s="13"/>
      <c r="C781" s="13"/>
      <c r="D781" s="13"/>
      <c r="E781" s="13"/>
      <c r="H781" s="18"/>
    </row>
    <row r="782">
      <c r="B782" s="13"/>
      <c r="C782" s="13"/>
      <c r="D782" s="13"/>
      <c r="E782" s="13"/>
      <c r="H782" s="18"/>
    </row>
    <row r="783">
      <c r="B783" s="13"/>
      <c r="C783" s="13"/>
      <c r="D783" s="13"/>
      <c r="E783" s="13"/>
      <c r="H783" s="18"/>
    </row>
    <row r="784">
      <c r="B784" s="13"/>
      <c r="C784" s="13"/>
      <c r="D784" s="13"/>
      <c r="E784" s="13"/>
      <c r="H784" s="18"/>
    </row>
    <row r="785">
      <c r="B785" s="13"/>
      <c r="C785" s="13"/>
      <c r="D785" s="13"/>
      <c r="E785" s="13"/>
      <c r="H785" s="18"/>
    </row>
    <row r="786">
      <c r="B786" s="13"/>
      <c r="C786" s="13"/>
      <c r="D786" s="13"/>
      <c r="E786" s="13"/>
      <c r="H786" s="18"/>
    </row>
    <row r="787">
      <c r="B787" s="13"/>
      <c r="C787" s="13"/>
      <c r="D787" s="13"/>
      <c r="E787" s="13"/>
      <c r="H787" s="18"/>
    </row>
    <row r="788">
      <c r="B788" s="13"/>
      <c r="C788" s="13"/>
      <c r="D788" s="13"/>
      <c r="E788" s="13"/>
      <c r="H788" s="18"/>
    </row>
    <row r="789">
      <c r="B789" s="13"/>
      <c r="C789" s="13"/>
      <c r="D789" s="13"/>
      <c r="E789" s="13"/>
      <c r="H789" s="18"/>
    </row>
    <row r="790">
      <c r="B790" s="13"/>
      <c r="C790" s="13"/>
      <c r="D790" s="13"/>
      <c r="E790" s="13"/>
      <c r="H790" s="18"/>
    </row>
    <row r="791">
      <c r="B791" s="13"/>
      <c r="C791" s="13"/>
      <c r="D791" s="13"/>
      <c r="E791" s="13"/>
      <c r="H791" s="18"/>
    </row>
    <row r="792">
      <c r="B792" s="13"/>
      <c r="C792" s="13"/>
      <c r="D792" s="13"/>
      <c r="E792" s="13"/>
      <c r="H792" s="18"/>
    </row>
    <row r="793">
      <c r="B793" s="13"/>
      <c r="C793" s="13"/>
      <c r="D793" s="13"/>
      <c r="E793" s="13"/>
      <c r="H793" s="18"/>
    </row>
    <row r="794">
      <c r="B794" s="13"/>
      <c r="C794" s="13"/>
      <c r="D794" s="13"/>
      <c r="E794" s="13"/>
      <c r="H794" s="18"/>
    </row>
    <row r="795">
      <c r="B795" s="13"/>
      <c r="C795" s="13"/>
      <c r="D795" s="13"/>
      <c r="E795" s="13"/>
      <c r="H795" s="18"/>
    </row>
    <row r="796">
      <c r="B796" s="13"/>
      <c r="C796" s="13"/>
      <c r="D796" s="13"/>
      <c r="E796" s="13"/>
      <c r="H796" s="18"/>
    </row>
    <row r="797">
      <c r="B797" s="13"/>
      <c r="C797" s="13"/>
      <c r="D797" s="13"/>
      <c r="E797" s="13"/>
      <c r="H797" s="18"/>
    </row>
    <row r="798">
      <c r="B798" s="13"/>
      <c r="C798" s="13"/>
      <c r="D798" s="13"/>
      <c r="E798" s="13"/>
      <c r="H798" s="18"/>
    </row>
    <row r="799">
      <c r="B799" s="13"/>
      <c r="C799" s="13"/>
      <c r="D799" s="13"/>
      <c r="E799" s="13"/>
      <c r="H799" s="18"/>
    </row>
    <row r="800">
      <c r="B800" s="13"/>
      <c r="C800" s="13"/>
      <c r="D800" s="13"/>
      <c r="E800" s="13"/>
      <c r="H800" s="18"/>
    </row>
    <row r="801">
      <c r="B801" s="13"/>
      <c r="C801" s="13"/>
      <c r="D801" s="13"/>
      <c r="E801" s="13"/>
      <c r="H801" s="18"/>
    </row>
    <row r="802">
      <c r="B802" s="13"/>
      <c r="C802" s="13"/>
      <c r="D802" s="13"/>
      <c r="E802" s="13"/>
      <c r="H802" s="18"/>
    </row>
    <row r="803">
      <c r="B803" s="13"/>
      <c r="C803" s="13"/>
      <c r="D803" s="13"/>
      <c r="E803" s="13"/>
      <c r="H803" s="18"/>
    </row>
    <row r="804">
      <c r="B804" s="13"/>
      <c r="C804" s="13"/>
      <c r="D804" s="13"/>
      <c r="E804" s="13"/>
      <c r="H804" s="18"/>
    </row>
    <row r="805">
      <c r="B805" s="13"/>
      <c r="C805" s="13"/>
      <c r="D805" s="13"/>
      <c r="E805" s="13"/>
      <c r="H805" s="18"/>
    </row>
    <row r="806">
      <c r="B806" s="13"/>
      <c r="C806" s="13"/>
      <c r="D806" s="13"/>
      <c r="E806" s="13"/>
      <c r="H806" s="18"/>
    </row>
    <row r="807">
      <c r="B807" s="13"/>
      <c r="C807" s="13"/>
      <c r="D807" s="13"/>
      <c r="E807" s="13"/>
      <c r="H807" s="18"/>
    </row>
    <row r="808">
      <c r="B808" s="13"/>
      <c r="C808" s="13"/>
      <c r="D808" s="13"/>
      <c r="E808" s="13"/>
      <c r="H808" s="18"/>
    </row>
    <row r="809">
      <c r="B809" s="13"/>
      <c r="C809" s="13"/>
      <c r="D809" s="13"/>
      <c r="E809" s="13"/>
      <c r="H809" s="18"/>
    </row>
    <row r="810">
      <c r="B810" s="13"/>
      <c r="C810" s="13"/>
      <c r="D810" s="13"/>
      <c r="E810" s="13"/>
      <c r="H810" s="18"/>
    </row>
    <row r="811">
      <c r="B811" s="13"/>
      <c r="C811" s="13"/>
      <c r="D811" s="13"/>
      <c r="E811" s="13"/>
      <c r="H811" s="18"/>
    </row>
    <row r="812">
      <c r="B812" s="13"/>
      <c r="C812" s="13"/>
      <c r="D812" s="13"/>
      <c r="E812" s="13"/>
      <c r="H812" s="18"/>
    </row>
    <row r="813">
      <c r="B813" s="13"/>
      <c r="C813" s="13"/>
      <c r="D813" s="13"/>
      <c r="E813" s="13"/>
      <c r="H813" s="18"/>
    </row>
    <row r="814">
      <c r="B814" s="13"/>
      <c r="C814" s="13"/>
      <c r="D814" s="13"/>
      <c r="E814" s="13"/>
      <c r="H814" s="18"/>
    </row>
    <row r="815">
      <c r="B815" s="13"/>
      <c r="C815" s="13"/>
      <c r="D815" s="13"/>
      <c r="E815" s="13"/>
      <c r="H815" s="18"/>
    </row>
    <row r="816">
      <c r="B816" s="13"/>
      <c r="C816" s="13"/>
      <c r="D816" s="13"/>
      <c r="E816" s="13"/>
      <c r="H816" s="18"/>
    </row>
    <row r="817">
      <c r="B817" s="13"/>
      <c r="C817" s="13"/>
      <c r="D817" s="13"/>
      <c r="E817" s="13"/>
      <c r="H817" s="18"/>
    </row>
    <row r="818">
      <c r="B818" s="13"/>
      <c r="C818" s="13"/>
      <c r="D818" s="13"/>
      <c r="E818" s="13"/>
      <c r="H818" s="18"/>
    </row>
    <row r="819">
      <c r="B819" s="13"/>
      <c r="C819" s="13"/>
      <c r="D819" s="13"/>
      <c r="E819" s="13"/>
      <c r="H819" s="18"/>
    </row>
    <row r="820">
      <c r="B820" s="13"/>
      <c r="C820" s="13"/>
      <c r="D820" s="13"/>
      <c r="E820" s="13"/>
      <c r="H820" s="18"/>
    </row>
    <row r="821">
      <c r="B821" s="13"/>
      <c r="C821" s="13"/>
      <c r="D821" s="13"/>
      <c r="E821" s="13"/>
      <c r="H821" s="18"/>
    </row>
    <row r="822">
      <c r="B822" s="13"/>
      <c r="C822" s="13"/>
      <c r="D822" s="13"/>
      <c r="E822" s="13"/>
      <c r="H822" s="18"/>
    </row>
    <row r="823">
      <c r="B823" s="13"/>
      <c r="C823" s="13"/>
      <c r="D823" s="13"/>
      <c r="E823" s="13"/>
      <c r="H823" s="18"/>
    </row>
    <row r="824">
      <c r="B824" s="13"/>
      <c r="C824" s="13"/>
      <c r="D824" s="13"/>
      <c r="E824" s="13"/>
      <c r="H824" s="18"/>
    </row>
    <row r="825">
      <c r="B825" s="13"/>
      <c r="C825" s="13"/>
      <c r="D825" s="13"/>
      <c r="E825" s="13"/>
      <c r="H825" s="18"/>
    </row>
    <row r="826">
      <c r="B826" s="13"/>
      <c r="C826" s="13"/>
      <c r="D826" s="13"/>
      <c r="E826" s="13"/>
      <c r="H826" s="18"/>
    </row>
    <row r="827">
      <c r="B827" s="13"/>
      <c r="C827" s="13"/>
      <c r="D827" s="13"/>
      <c r="E827" s="13"/>
      <c r="H827" s="18"/>
    </row>
    <row r="828">
      <c r="B828" s="13"/>
      <c r="C828" s="13"/>
      <c r="D828" s="13"/>
      <c r="E828" s="13"/>
      <c r="H828" s="18"/>
    </row>
    <row r="829">
      <c r="B829" s="13"/>
      <c r="C829" s="13"/>
      <c r="D829" s="13"/>
      <c r="E829" s="13"/>
      <c r="H829" s="18"/>
    </row>
    <row r="830">
      <c r="B830" s="13"/>
      <c r="C830" s="13"/>
      <c r="D830" s="13"/>
      <c r="E830" s="13"/>
      <c r="H830" s="18"/>
    </row>
    <row r="831">
      <c r="B831" s="13"/>
      <c r="C831" s="13"/>
      <c r="D831" s="13"/>
      <c r="E831" s="13"/>
      <c r="H831" s="18"/>
    </row>
    <row r="832">
      <c r="B832" s="13"/>
      <c r="C832" s="13"/>
      <c r="D832" s="13"/>
      <c r="E832" s="13"/>
      <c r="H832" s="18"/>
    </row>
    <row r="833">
      <c r="B833" s="13"/>
      <c r="C833" s="13"/>
      <c r="D833" s="13"/>
      <c r="E833" s="13"/>
      <c r="H833" s="18"/>
    </row>
    <row r="834">
      <c r="B834" s="13"/>
      <c r="C834" s="13"/>
      <c r="D834" s="13"/>
      <c r="E834" s="13"/>
      <c r="H834" s="18"/>
    </row>
    <row r="835">
      <c r="B835" s="13"/>
      <c r="C835" s="13"/>
      <c r="D835" s="13"/>
      <c r="E835" s="13"/>
      <c r="H835" s="18"/>
    </row>
    <row r="836">
      <c r="B836" s="13"/>
      <c r="C836" s="13"/>
      <c r="D836" s="13"/>
      <c r="E836" s="13"/>
      <c r="H836" s="18"/>
    </row>
    <row r="837">
      <c r="B837" s="13"/>
      <c r="C837" s="13"/>
      <c r="D837" s="13"/>
      <c r="E837" s="13"/>
      <c r="H837" s="18"/>
    </row>
    <row r="838">
      <c r="B838" s="13"/>
      <c r="C838" s="13"/>
      <c r="D838" s="13"/>
      <c r="E838" s="13"/>
      <c r="H838" s="18"/>
    </row>
    <row r="839">
      <c r="B839" s="13"/>
      <c r="C839" s="13"/>
      <c r="D839" s="13"/>
      <c r="E839" s="13"/>
      <c r="H839" s="18"/>
    </row>
    <row r="840">
      <c r="B840" s="13"/>
      <c r="C840" s="13"/>
      <c r="D840" s="13"/>
      <c r="E840" s="13"/>
      <c r="H840" s="18"/>
    </row>
    <row r="841">
      <c r="B841" s="13"/>
      <c r="C841" s="13"/>
      <c r="D841" s="13"/>
      <c r="E841" s="13"/>
      <c r="H841" s="18"/>
    </row>
    <row r="842">
      <c r="B842" s="13"/>
      <c r="C842" s="13"/>
      <c r="D842" s="13"/>
      <c r="E842" s="13"/>
      <c r="H842" s="18"/>
    </row>
    <row r="843">
      <c r="B843" s="13"/>
      <c r="C843" s="13"/>
      <c r="D843" s="13"/>
      <c r="E843" s="13"/>
      <c r="H843" s="18"/>
    </row>
    <row r="844">
      <c r="B844" s="13"/>
      <c r="C844" s="13"/>
      <c r="D844" s="13"/>
      <c r="E844" s="13"/>
      <c r="H844" s="18"/>
    </row>
    <row r="845">
      <c r="B845" s="13"/>
      <c r="C845" s="13"/>
      <c r="D845" s="13"/>
      <c r="E845" s="13"/>
      <c r="H845" s="18"/>
    </row>
    <row r="846">
      <c r="B846" s="13"/>
      <c r="C846" s="13"/>
      <c r="D846" s="13"/>
      <c r="E846" s="13"/>
      <c r="H846" s="18"/>
    </row>
    <row r="847">
      <c r="B847" s="13"/>
      <c r="C847" s="13"/>
      <c r="D847" s="13"/>
      <c r="E847" s="13"/>
      <c r="H847" s="18"/>
    </row>
    <row r="848">
      <c r="B848" s="13"/>
      <c r="C848" s="13"/>
      <c r="D848" s="13"/>
      <c r="E848" s="13"/>
      <c r="H848" s="18"/>
    </row>
    <row r="849">
      <c r="B849" s="13"/>
      <c r="C849" s="13"/>
      <c r="D849" s="13"/>
      <c r="E849" s="13"/>
      <c r="H849" s="18"/>
    </row>
    <row r="850">
      <c r="B850" s="13"/>
      <c r="C850" s="13"/>
      <c r="D850" s="13"/>
      <c r="E850" s="13"/>
      <c r="H850" s="18"/>
    </row>
    <row r="851">
      <c r="B851" s="13"/>
      <c r="C851" s="13"/>
      <c r="D851" s="13"/>
      <c r="E851" s="13"/>
      <c r="H851" s="18"/>
    </row>
    <row r="852">
      <c r="B852" s="13"/>
      <c r="C852" s="13"/>
      <c r="D852" s="13"/>
      <c r="E852" s="13"/>
      <c r="H852" s="18"/>
    </row>
    <row r="853">
      <c r="B853" s="13"/>
      <c r="C853" s="13"/>
      <c r="D853" s="13"/>
      <c r="E853" s="13"/>
      <c r="H853" s="18"/>
    </row>
    <row r="854">
      <c r="B854" s="13"/>
      <c r="C854" s="13"/>
      <c r="D854" s="13"/>
      <c r="E854" s="13"/>
      <c r="H854" s="18"/>
    </row>
    <row r="855">
      <c r="B855" s="13"/>
      <c r="C855" s="13"/>
      <c r="D855" s="13"/>
      <c r="E855" s="13"/>
      <c r="H855" s="18"/>
    </row>
    <row r="856">
      <c r="B856" s="13"/>
      <c r="C856" s="13"/>
      <c r="D856" s="13"/>
      <c r="E856" s="13"/>
      <c r="H856" s="18"/>
    </row>
    <row r="857">
      <c r="B857" s="13"/>
      <c r="C857" s="13"/>
      <c r="D857" s="13"/>
      <c r="E857" s="13"/>
      <c r="H857" s="18"/>
    </row>
    <row r="858">
      <c r="B858" s="13"/>
      <c r="C858" s="13"/>
      <c r="D858" s="13"/>
      <c r="E858" s="13"/>
      <c r="H858" s="18"/>
    </row>
    <row r="859">
      <c r="B859" s="13"/>
      <c r="C859" s="13"/>
      <c r="D859" s="13"/>
      <c r="E859" s="13"/>
      <c r="H859" s="18"/>
    </row>
    <row r="860">
      <c r="B860" s="13"/>
      <c r="C860" s="13"/>
      <c r="D860" s="13"/>
      <c r="E860" s="13"/>
      <c r="H860" s="18"/>
    </row>
    <row r="861">
      <c r="B861" s="13"/>
      <c r="C861" s="13"/>
      <c r="D861" s="13"/>
      <c r="E861" s="13"/>
      <c r="H861" s="18"/>
    </row>
    <row r="862">
      <c r="B862" s="13"/>
      <c r="C862" s="13"/>
      <c r="D862" s="13"/>
      <c r="E862" s="13"/>
      <c r="H862" s="18"/>
    </row>
    <row r="863">
      <c r="B863" s="13"/>
      <c r="C863" s="13"/>
      <c r="D863" s="13"/>
      <c r="E863" s="13"/>
      <c r="H863" s="18"/>
    </row>
    <row r="864">
      <c r="B864" s="13"/>
      <c r="C864" s="13"/>
      <c r="D864" s="13"/>
      <c r="E864" s="13"/>
      <c r="H864" s="18"/>
    </row>
    <row r="865">
      <c r="B865" s="13"/>
      <c r="C865" s="13"/>
      <c r="D865" s="13"/>
      <c r="E865" s="13"/>
      <c r="H865" s="18"/>
    </row>
    <row r="866">
      <c r="B866" s="13"/>
      <c r="C866" s="13"/>
      <c r="D866" s="13"/>
      <c r="E866" s="13"/>
      <c r="H866" s="18"/>
    </row>
    <row r="867">
      <c r="B867" s="13"/>
      <c r="C867" s="13"/>
      <c r="D867" s="13"/>
      <c r="E867" s="13"/>
      <c r="H867" s="18"/>
    </row>
    <row r="868">
      <c r="B868" s="13"/>
      <c r="C868" s="13"/>
      <c r="D868" s="13"/>
      <c r="E868" s="13"/>
      <c r="H868" s="18"/>
    </row>
    <row r="869">
      <c r="B869" s="13"/>
      <c r="C869" s="13"/>
      <c r="D869" s="13"/>
      <c r="E869" s="13"/>
      <c r="H869" s="18"/>
    </row>
    <row r="870">
      <c r="B870" s="13"/>
      <c r="C870" s="13"/>
      <c r="D870" s="13"/>
      <c r="E870" s="13"/>
      <c r="H870" s="18"/>
    </row>
    <row r="871">
      <c r="B871" s="13"/>
      <c r="C871" s="13"/>
      <c r="D871" s="13"/>
      <c r="E871" s="13"/>
      <c r="H871" s="18"/>
    </row>
    <row r="872">
      <c r="B872" s="13"/>
      <c r="C872" s="13"/>
      <c r="D872" s="13"/>
      <c r="E872" s="13"/>
      <c r="H872" s="18"/>
    </row>
    <row r="873">
      <c r="B873" s="13"/>
      <c r="C873" s="13"/>
      <c r="D873" s="13"/>
      <c r="E873" s="13"/>
      <c r="H873" s="18"/>
    </row>
    <row r="874">
      <c r="B874" s="13"/>
      <c r="C874" s="13"/>
      <c r="D874" s="13"/>
      <c r="E874" s="13"/>
      <c r="H874" s="18"/>
    </row>
    <row r="875">
      <c r="B875" s="13"/>
      <c r="C875" s="13"/>
      <c r="D875" s="13"/>
      <c r="E875" s="13"/>
      <c r="H875" s="18"/>
    </row>
    <row r="876">
      <c r="B876" s="13"/>
      <c r="C876" s="13"/>
      <c r="D876" s="13"/>
      <c r="E876" s="13"/>
      <c r="H876" s="18"/>
    </row>
    <row r="877">
      <c r="B877" s="13"/>
      <c r="C877" s="13"/>
      <c r="D877" s="13"/>
      <c r="E877" s="13"/>
      <c r="H877" s="18"/>
    </row>
    <row r="878">
      <c r="B878" s="13"/>
      <c r="C878" s="13"/>
      <c r="D878" s="13"/>
      <c r="E878" s="13"/>
      <c r="H878" s="18"/>
    </row>
    <row r="879">
      <c r="B879" s="13"/>
      <c r="C879" s="13"/>
      <c r="D879" s="13"/>
      <c r="E879" s="13"/>
      <c r="H879" s="18"/>
    </row>
    <row r="880">
      <c r="B880" s="13"/>
      <c r="C880" s="13"/>
      <c r="D880" s="13"/>
      <c r="E880" s="13"/>
      <c r="H880" s="18"/>
    </row>
    <row r="881">
      <c r="B881" s="13"/>
      <c r="C881" s="13"/>
      <c r="D881" s="13"/>
      <c r="E881" s="13"/>
      <c r="H881" s="18"/>
    </row>
    <row r="882">
      <c r="B882" s="13"/>
      <c r="C882" s="13"/>
      <c r="D882" s="13"/>
      <c r="E882" s="13"/>
      <c r="H882" s="18"/>
    </row>
    <row r="883">
      <c r="B883" s="13"/>
      <c r="C883" s="13"/>
      <c r="D883" s="13"/>
      <c r="E883" s="13"/>
      <c r="H883" s="18"/>
    </row>
    <row r="884">
      <c r="B884" s="13"/>
      <c r="C884" s="13"/>
      <c r="D884" s="13"/>
      <c r="E884" s="13"/>
      <c r="H884" s="18"/>
    </row>
    <row r="885">
      <c r="B885" s="13"/>
      <c r="C885" s="13"/>
      <c r="D885" s="13"/>
      <c r="E885" s="13"/>
      <c r="H885" s="18"/>
    </row>
    <row r="886">
      <c r="B886" s="13"/>
      <c r="C886" s="13"/>
      <c r="D886" s="13"/>
      <c r="E886" s="13"/>
      <c r="H886" s="18"/>
    </row>
    <row r="887">
      <c r="B887" s="13"/>
      <c r="C887" s="13"/>
      <c r="D887" s="13"/>
      <c r="E887" s="13"/>
      <c r="H887" s="18"/>
    </row>
    <row r="888">
      <c r="B888" s="13"/>
      <c r="C888" s="13"/>
      <c r="D888" s="13"/>
      <c r="E888" s="13"/>
      <c r="H888" s="18"/>
    </row>
    <row r="889">
      <c r="B889" s="13"/>
      <c r="C889" s="13"/>
      <c r="D889" s="13"/>
      <c r="E889" s="13"/>
      <c r="H889" s="18"/>
    </row>
    <row r="890">
      <c r="B890" s="13"/>
      <c r="C890" s="13"/>
      <c r="D890" s="13"/>
      <c r="E890" s="13"/>
      <c r="H890" s="18"/>
    </row>
    <row r="891">
      <c r="B891" s="13"/>
      <c r="C891" s="13"/>
      <c r="D891" s="13"/>
      <c r="E891" s="13"/>
      <c r="H891" s="18"/>
    </row>
    <row r="892">
      <c r="B892" s="13"/>
      <c r="C892" s="13"/>
      <c r="D892" s="13"/>
      <c r="E892" s="13"/>
      <c r="H892" s="18"/>
    </row>
    <row r="893">
      <c r="B893" s="13"/>
      <c r="C893" s="13"/>
      <c r="D893" s="13"/>
      <c r="E893" s="13"/>
      <c r="H893" s="18"/>
    </row>
    <row r="894">
      <c r="B894" s="13"/>
      <c r="C894" s="13"/>
      <c r="D894" s="13"/>
      <c r="E894" s="13"/>
      <c r="H894" s="18"/>
    </row>
    <row r="895">
      <c r="B895" s="13"/>
      <c r="C895" s="13"/>
      <c r="D895" s="13"/>
      <c r="E895" s="13"/>
      <c r="H895" s="18"/>
    </row>
    <row r="896">
      <c r="B896" s="13"/>
      <c r="C896" s="13"/>
      <c r="D896" s="13"/>
      <c r="E896" s="13"/>
      <c r="H896" s="18"/>
    </row>
    <row r="897">
      <c r="B897" s="13"/>
      <c r="C897" s="13"/>
      <c r="D897" s="13"/>
      <c r="E897" s="13"/>
      <c r="H897" s="18"/>
    </row>
    <row r="898">
      <c r="B898" s="13"/>
      <c r="C898" s="13"/>
      <c r="D898" s="13"/>
      <c r="E898" s="13"/>
      <c r="H898" s="18"/>
    </row>
    <row r="899">
      <c r="B899" s="13"/>
      <c r="C899" s="13"/>
      <c r="D899" s="13"/>
      <c r="E899" s="13"/>
      <c r="H899" s="18"/>
    </row>
    <row r="900">
      <c r="B900" s="13"/>
      <c r="C900" s="13"/>
      <c r="D900" s="13"/>
      <c r="E900" s="13"/>
      <c r="H900" s="18"/>
    </row>
    <row r="901">
      <c r="B901" s="13"/>
      <c r="C901" s="13"/>
      <c r="D901" s="13"/>
      <c r="E901" s="13"/>
      <c r="H901" s="18"/>
    </row>
    <row r="902">
      <c r="B902" s="13"/>
      <c r="C902" s="13"/>
      <c r="D902" s="13"/>
      <c r="E902" s="13"/>
      <c r="H902" s="18"/>
    </row>
    <row r="903">
      <c r="B903" s="13"/>
      <c r="C903" s="13"/>
      <c r="D903" s="13"/>
      <c r="E903" s="13"/>
      <c r="H903" s="18"/>
    </row>
    <row r="904">
      <c r="B904" s="13"/>
      <c r="C904" s="13"/>
      <c r="D904" s="13"/>
      <c r="E904" s="13"/>
      <c r="H904" s="18"/>
    </row>
    <row r="905">
      <c r="B905" s="13"/>
      <c r="C905" s="13"/>
      <c r="D905" s="13"/>
      <c r="E905" s="13"/>
      <c r="H905" s="18"/>
    </row>
    <row r="906">
      <c r="B906" s="13"/>
      <c r="C906" s="13"/>
      <c r="D906" s="13"/>
      <c r="E906" s="13"/>
      <c r="H906" s="18"/>
    </row>
    <row r="907">
      <c r="B907" s="13"/>
      <c r="C907" s="13"/>
      <c r="D907" s="13"/>
      <c r="E907" s="13"/>
      <c r="H907" s="18"/>
    </row>
    <row r="908">
      <c r="B908" s="13"/>
      <c r="C908" s="13"/>
      <c r="D908" s="13"/>
      <c r="E908" s="13"/>
      <c r="H908" s="18"/>
    </row>
    <row r="909">
      <c r="B909" s="13"/>
      <c r="C909" s="13"/>
      <c r="D909" s="13"/>
      <c r="E909" s="13"/>
      <c r="H909" s="18"/>
    </row>
    <row r="910">
      <c r="B910" s="13"/>
      <c r="C910" s="13"/>
      <c r="D910" s="13"/>
      <c r="E910" s="13"/>
      <c r="H910" s="18"/>
    </row>
    <row r="911">
      <c r="B911" s="13"/>
      <c r="C911" s="13"/>
      <c r="D911" s="13"/>
      <c r="E911" s="13"/>
      <c r="H911" s="18"/>
    </row>
    <row r="912">
      <c r="B912" s="13"/>
      <c r="C912" s="13"/>
      <c r="D912" s="13"/>
      <c r="E912" s="13"/>
      <c r="H912" s="18"/>
    </row>
    <row r="913">
      <c r="B913" s="13"/>
      <c r="C913" s="13"/>
      <c r="D913" s="13"/>
      <c r="E913" s="13"/>
      <c r="H913" s="18"/>
    </row>
    <row r="914">
      <c r="B914" s="13"/>
      <c r="C914" s="13"/>
      <c r="D914" s="13"/>
      <c r="E914" s="13"/>
      <c r="H914" s="18"/>
    </row>
    <row r="915">
      <c r="B915" s="13"/>
      <c r="C915" s="13"/>
      <c r="D915" s="13"/>
      <c r="E915" s="13"/>
      <c r="H915" s="18"/>
    </row>
    <row r="916">
      <c r="B916" s="13"/>
      <c r="C916" s="13"/>
      <c r="D916" s="13"/>
      <c r="E916" s="13"/>
      <c r="H916" s="18"/>
    </row>
    <row r="917">
      <c r="B917" s="13"/>
      <c r="C917" s="13"/>
      <c r="D917" s="13"/>
      <c r="E917" s="13"/>
      <c r="H917" s="18"/>
    </row>
    <row r="918">
      <c r="B918" s="13"/>
      <c r="C918" s="13"/>
      <c r="D918" s="13"/>
      <c r="E918" s="13"/>
      <c r="H918" s="18"/>
    </row>
    <row r="919">
      <c r="B919" s="13"/>
      <c r="C919" s="13"/>
      <c r="D919" s="13"/>
      <c r="E919" s="13"/>
      <c r="H919" s="18"/>
    </row>
    <row r="920">
      <c r="B920" s="13"/>
      <c r="C920" s="13"/>
      <c r="D920" s="13"/>
      <c r="E920" s="13"/>
      <c r="H920" s="18"/>
    </row>
    <row r="921">
      <c r="B921" s="13"/>
      <c r="C921" s="13"/>
      <c r="D921" s="13"/>
      <c r="E921" s="13"/>
      <c r="H921" s="18"/>
    </row>
    <row r="922">
      <c r="B922" s="13"/>
      <c r="C922" s="13"/>
      <c r="D922" s="13"/>
      <c r="E922" s="13"/>
      <c r="H922" s="18"/>
    </row>
    <row r="923">
      <c r="B923" s="13"/>
      <c r="C923" s="13"/>
      <c r="D923" s="13"/>
      <c r="E923" s="13"/>
      <c r="H923" s="18"/>
    </row>
    <row r="924">
      <c r="B924" s="13"/>
      <c r="C924" s="13"/>
      <c r="D924" s="13"/>
      <c r="E924" s="13"/>
      <c r="H924" s="18"/>
    </row>
    <row r="925">
      <c r="B925" s="13"/>
      <c r="C925" s="13"/>
      <c r="D925" s="13"/>
      <c r="E925" s="13"/>
      <c r="H925" s="18"/>
    </row>
    <row r="926">
      <c r="B926" s="13"/>
      <c r="C926" s="13"/>
      <c r="D926" s="13"/>
      <c r="E926" s="13"/>
      <c r="H926" s="18"/>
    </row>
    <row r="927">
      <c r="B927" s="13"/>
      <c r="C927" s="13"/>
      <c r="D927" s="13"/>
      <c r="E927" s="13"/>
      <c r="H927" s="18"/>
    </row>
    <row r="928">
      <c r="B928" s="13"/>
      <c r="C928" s="13"/>
      <c r="D928" s="13"/>
      <c r="E928" s="13"/>
      <c r="H928" s="18"/>
    </row>
    <row r="929">
      <c r="B929" s="13"/>
      <c r="C929" s="13"/>
      <c r="D929" s="13"/>
      <c r="E929" s="13"/>
      <c r="H929" s="18"/>
    </row>
    <row r="930">
      <c r="B930" s="13"/>
      <c r="C930" s="13"/>
      <c r="D930" s="13"/>
      <c r="E930" s="13"/>
      <c r="H930" s="18"/>
    </row>
    <row r="931">
      <c r="B931" s="13"/>
      <c r="C931" s="13"/>
      <c r="D931" s="13"/>
      <c r="E931" s="13"/>
      <c r="H931" s="18"/>
    </row>
    <row r="932">
      <c r="B932" s="13"/>
      <c r="C932" s="13"/>
      <c r="D932" s="13"/>
      <c r="E932" s="13"/>
      <c r="H932" s="18"/>
    </row>
    <row r="933">
      <c r="B933" s="13"/>
      <c r="C933" s="13"/>
      <c r="D933" s="13"/>
      <c r="E933" s="13"/>
      <c r="H933" s="18"/>
    </row>
    <row r="934">
      <c r="B934" s="13"/>
      <c r="C934" s="13"/>
      <c r="D934" s="13"/>
      <c r="E934" s="13"/>
      <c r="H934" s="18"/>
    </row>
    <row r="935">
      <c r="B935" s="13"/>
      <c r="C935" s="13"/>
      <c r="D935" s="13"/>
      <c r="E935" s="13"/>
      <c r="H935" s="18"/>
    </row>
    <row r="936">
      <c r="B936" s="13"/>
      <c r="C936" s="13"/>
      <c r="D936" s="13"/>
      <c r="E936" s="13"/>
      <c r="H936" s="18"/>
    </row>
    <row r="937">
      <c r="B937" s="13"/>
      <c r="C937" s="13"/>
      <c r="D937" s="13"/>
      <c r="E937" s="13"/>
      <c r="H937" s="18"/>
    </row>
    <row r="938">
      <c r="B938" s="13"/>
      <c r="C938" s="13"/>
      <c r="D938" s="13"/>
      <c r="E938" s="13"/>
      <c r="H938" s="18"/>
    </row>
    <row r="939">
      <c r="B939" s="13"/>
      <c r="C939" s="13"/>
      <c r="D939" s="13"/>
      <c r="E939" s="13"/>
      <c r="H939" s="18"/>
    </row>
    <row r="940">
      <c r="B940" s="13"/>
      <c r="C940" s="13"/>
      <c r="D940" s="13"/>
      <c r="E940" s="13"/>
      <c r="H940" s="18"/>
    </row>
    <row r="941">
      <c r="B941" s="13"/>
      <c r="C941" s="13"/>
      <c r="D941" s="13"/>
      <c r="E941" s="13"/>
      <c r="H941" s="18"/>
    </row>
    <row r="942">
      <c r="B942" s="13"/>
      <c r="C942" s="13"/>
      <c r="D942" s="13"/>
      <c r="E942" s="13"/>
      <c r="H942" s="18"/>
    </row>
    <row r="943">
      <c r="B943" s="13"/>
      <c r="C943" s="13"/>
      <c r="D943" s="13"/>
      <c r="E943" s="13"/>
      <c r="H943" s="18"/>
    </row>
    <row r="944">
      <c r="B944" s="13"/>
      <c r="C944" s="13"/>
      <c r="D944" s="13"/>
      <c r="E944" s="13"/>
      <c r="H944" s="18"/>
    </row>
    <row r="945">
      <c r="B945" s="13"/>
      <c r="C945" s="13"/>
      <c r="D945" s="13"/>
      <c r="E945" s="13"/>
      <c r="H945" s="18"/>
    </row>
    <row r="946">
      <c r="B946" s="13"/>
      <c r="C946" s="13"/>
      <c r="D946" s="13"/>
      <c r="E946" s="13"/>
      <c r="H946" s="18"/>
    </row>
    <row r="947">
      <c r="B947" s="13"/>
      <c r="C947" s="13"/>
      <c r="D947" s="13"/>
      <c r="E947" s="13"/>
      <c r="H947" s="18"/>
    </row>
    <row r="948">
      <c r="B948" s="13"/>
      <c r="C948" s="13"/>
      <c r="D948" s="13"/>
      <c r="E948" s="13"/>
      <c r="H948" s="18"/>
    </row>
    <row r="949">
      <c r="B949" s="13"/>
      <c r="C949" s="13"/>
      <c r="D949" s="13"/>
      <c r="E949" s="13"/>
      <c r="H949" s="18"/>
    </row>
    <row r="950">
      <c r="B950" s="13"/>
      <c r="C950" s="13"/>
      <c r="D950" s="13"/>
      <c r="E950" s="13"/>
      <c r="H950" s="18"/>
    </row>
    <row r="951">
      <c r="B951" s="13"/>
      <c r="C951" s="13"/>
      <c r="D951" s="13"/>
      <c r="E951" s="13"/>
      <c r="H951" s="18"/>
    </row>
    <row r="952">
      <c r="B952" s="13"/>
      <c r="C952" s="13"/>
      <c r="D952" s="13"/>
      <c r="E952" s="13"/>
      <c r="H952" s="18"/>
    </row>
    <row r="953">
      <c r="B953" s="13"/>
      <c r="C953" s="13"/>
      <c r="D953" s="13"/>
      <c r="E953" s="13"/>
      <c r="H953" s="18"/>
    </row>
    <row r="954">
      <c r="B954" s="13"/>
      <c r="C954" s="13"/>
      <c r="D954" s="13"/>
      <c r="E954" s="13"/>
      <c r="H954" s="18"/>
    </row>
    <row r="955">
      <c r="B955" s="13"/>
      <c r="C955" s="13"/>
      <c r="D955" s="13"/>
      <c r="E955" s="13"/>
      <c r="H955" s="18"/>
    </row>
    <row r="956">
      <c r="B956" s="13"/>
      <c r="C956" s="13"/>
      <c r="D956" s="13"/>
      <c r="E956" s="13"/>
      <c r="H956" s="18"/>
    </row>
    <row r="957">
      <c r="B957" s="13"/>
      <c r="C957" s="13"/>
      <c r="D957" s="13"/>
      <c r="E957" s="13"/>
      <c r="H957" s="18"/>
    </row>
    <row r="958">
      <c r="B958" s="13"/>
      <c r="C958" s="13"/>
      <c r="D958" s="13"/>
      <c r="E958" s="13"/>
      <c r="H958" s="18"/>
    </row>
    <row r="959">
      <c r="B959" s="13"/>
      <c r="C959" s="13"/>
      <c r="D959" s="13"/>
      <c r="E959" s="13"/>
      <c r="H959" s="18"/>
    </row>
    <row r="960">
      <c r="B960" s="13"/>
      <c r="C960" s="13"/>
      <c r="D960" s="13"/>
      <c r="E960" s="13"/>
      <c r="H960" s="18"/>
    </row>
    <row r="961">
      <c r="B961" s="13"/>
      <c r="C961" s="13"/>
      <c r="D961" s="13"/>
      <c r="E961" s="13"/>
      <c r="H961" s="18"/>
    </row>
    <row r="962">
      <c r="B962" s="13"/>
      <c r="C962" s="13"/>
      <c r="D962" s="13"/>
      <c r="E962" s="13"/>
      <c r="H962" s="18"/>
    </row>
    <row r="963">
      <c r="B963" s="13"/>
      <c r="C963" s="13"/>
      <c r="D963" s="13"/>
      <c r="E963" s="13"/>
      <c r="H963" s="18"/>
    </row>
    <row r="964">
      <c r="B964" s="13"/>
      <c r="C964" s="13"/>
      <c r="D964" s="13"/>
      <c r="E964" s="13"/>
      <c r="H964" s="18"/>
    </row>
    <row r="965">
      <c r="B965" s="13"/>
      <c r="C965" s="13"/>
      <c r="D965" s="13"/>
      <c r="E965" s="13"/>
      <c r="H965" s="18"/>
    </row>
    <row r="966">
      <c r="B966" s="13"/>
      <c r="C966" s="13"/>
      <c r="D966" s="13"/>
      <c r="E966" s="13"/>
      <c r="H966" s="18"/>
    </row>
    <row r="967">
      <c r="B967" s="13"/>
      <c r="C967" s="13"/>
      <c r="D967" s="13"/>
      <c r="E967" s="13"/>
      <c r="H967" s="18"/>
    </row>
    <row r="968">
      <c r="B968" s="13"/>
      <c r="C968" s="13"/>
      <c r="D968" s="13"/>
      <c r="E968" s="13"/>
      <c r="H968" s="18"/>
    </row>
    <row r="969">
      <c r="B969" s="13"/>
      <c r="C969" s="13"/>
      <c r="D969" s="13"/>
      <c r="E969" s="13"/>
      <c r="H969" s="18"/>
    </row>
    <row r="970">
      <c r="B970" s="13"/>
      <c r="C970" s="13"/>
      <c r="D970" s="13"/>
      <c r="E970" s="13"/>
      <c r="H970" s="18"/>
    </row>
    <row r="971">
      <c r="B971" s="13"/>
      <c r="C971" s="13"/>
      <c r="D971" s="13"/>
      <c r="E971" s="13"/>
      <c r="H971" s="18"/>
    </row>
    <row r="972">
      <c r="B972" s="13"/>
      <c r="C972" s="13"/>
      <c r="D972" s="13"/>
      <c r="E972" s="13"/>
      <c r="H972" s="18"/>
    </row>
    <row r="973">
      <c r="B973" s="13"/>
      <c r="C973" s="13"/>
      <c r="D973" s="13"/>
      <c r="E973" s="13"/>
      <c r="H973" s="18"/>
    </row>
    <row r="974">
      <c r="B974" s="13"/>
      <c r="C974" s="13"/>
      <c r="D974" s="13"/>
      <c r="E974" s="13"/>
      <c r="H974" s="18"/>
    </row>
    <row r="975">
      <c r="B975" s="13"/>
      <c r="C975" s="13"/>
      <c r="D975" s="13"/>
      <c r="E975" s="13"/>
      <c r="H975" s="18"/>
    </row>
    <row r="976">
      <c r="B976" s="13"/>
      <c r="C976" s="13"/>
      <c r="D976" s="13"/>
      <c r="E976" s="13"/>
      <c r="H976" s="18"/>
    </row>
    <row r="977">
      <c r="B977" s="13"/>
      <c r="C977" s="13"/>
      <c r="D977" s="13"/>
      <c r="E977" s="13"/>
      <c r="H977" s="18"/>
    </row>
    <row r="978">
      <c r="B978" s="13"/>
      <c r="C978" s="13"/>
      <c r="D978" s="13"/>
      <c r="E978" s="13"/>
      <c r="H978" s="18"/>
    </row>
    <row r="979">
      <c r="B979" s="13"/>
      <c r="C979" s="13"/>
      <c r="D979" s="13"/>
      <c r="E979" s="13"/>
      <c r="H979" s="18"/>
    </row>
    <row r="980">
      <c r="B980" s="13"/>
      <c r="C980" s="13"/>
      <c r="D980" s="13"/>
      <c r="E980" s="13"/>
      <c r="H980" s="18"/>
    </row>
    <row r="981">
      <c r="B981" s="13"/>
      <c r="C981" s="13"/>
      <c r="D981" s="13"/>
      <c r="E981" s="13"/>
      <c r="H981" s="18"/>
    </row>
    <row r="982">
      <c r="B982" s="13"/>
      <c r="C982" s="13"/>
      <c r="D982" s="13"/>
      <c r="E982" s="13"/>
      <c r="H982" s="18"/>
    </row>
    <row r="983">
      <c r="B983" s="13"/>
      <c r="C983" s="13"/>
      <c r="D983" s="13"/>
      <c r="E983" s="13"/>
      <c r="H983" s="18"/>
    </row>
    <row r="984">
      <c r="B984" s="13"/>
      <c r="C984" s="13"/>
      <c r="D984" s="13"/>
      <c r="E984" s="13"/>
      <c r="H984" s="18"/>
    </row>
    <row r="985">
      <c r="B985" s="13"/>
      <c r="C985" s="13"/>
      <c r="D985" s="13"/>
      <c r="E985" s="13"/>
      <c r="H985" s="18"/>
    </row>
    <row r="986">
      <c r="B986" s="13"/>
      <c r="C986" s="13"/>
      <c r="D986" s="13"/>
      <c r="E986" s="13"/>
      <c r="H986" s="18"/>
    </row>
    <row r="987">
      <c r="B987" s="13"/>
      <c r="C987" s="13"/>
      <c r="D987" s="13"/>
      <c r="E987" s="13"/>
      <c r="H987" s="18"/>
    </row>
    <row r="988">
      <c r="B988" s="13"/>
      <c r="C988" s="13"/>
      <c r="D988" s="13"/>
      <c r="E988" s="13"/>
      <c r="H988" s="18"/>
    </row>
    <row r="989">
      <c r="B989" s="13"/>
      <c r="C989" s="13"/>
      <c r="D989" s="13"/>
      <c r="E989" s="13"/>
      <c r="H989" s="18"/>
    </row>
    <row r="990">
      <c r="B990" s="13"/>
      <c r="C990" s="13"/>
      <c r="D990" s="13"/>
      <c r="E990" s="13"/>
      <c r="H990" s="18"/>
    </row>
    <row r="991">
      <c r="B991" s="13"/>
      <c r="C991" s="13"/>
      <c r="D991" s="13"/>
      <c r="E991" s="13"/>
      <c r="H991" s="18"/>
    </row>
    <row r="992">
      <c r="B992" s="13"/>
      <c r="C992" s="13"/>
      <c r="D992" s="13"/>
      <c r="E992" s="13"/>
      <c r="H992" s="18"/>
    </row>
    <row r="993">
      <c r="B993" s="13"/>
      <c r="C993" s="13"/>
      <c r="D993" s="13"/>
      <c r="E993" s="13"/>
      <c r="H993" s="18"/>
    </row>
    <row r="994">
      <c r="B994" s="13"/>
      <c r="C994" s="13"/>
      <c r="D994" s="13"/>
      <c r="E994" s="13"/>
      <c r="H994" s="18"/>
    </row>
    <row r="995">
      <c r="B995" s="13"/>
      <c r="C995" s="13"/>
      <c r="D995" s="13"/>
      <c r="E995" s="13"/>
      <c r="H995" s="18"/>
    </row>
    <row r="996">
      <c r="B996" s="13"/>
      <c r="C996" s="13"/>
      <c r="D996" s="13"/>
      <c r="E996" s="13"/>
      <c r="H996" s="18"/>
    </row>
    <row r="997">
      <c r="B997" s="13"/>
      <c r="C997" s="13"/>
      <c r="D997" s="13"/>
      <c r="E997" s="13"/>
      <c r="H997" s="18"/>
    </row>
    <row r="998">
      <c r="B998" s="13"/>
      <c r="C998" s="13"/>
      <c r="D998" s="13"/>
      <c r="E998" s="13"/>
      <c r="H998" s="18"/>
    </row>
    <row r="999">
      <c r="B999" s="13"/>
      <c r="C999" s="13"/>
      <c r="D999" s="13"/>
      <c r="E999" s="13"/>
      <c r="H999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25"/>
    <col customWidth="1" min="2" max="2" width="18.75"/>
    <col customWidth="1" min="3" max="3" width="16.75"/>
    <col customWidth="1" min="4" max="4" width="14.25"/>
  </cols>
  <sheetData>
    <row r="2">
      <c r="D2" s="20"/>
    </row>
    <row r="3" hidden="1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21">
      <c r="B21" s="20"/>
    </row>
    <row r="22">
      <c r="B22" s="20"/>
    </row>
    <row r="23">
      <c r="B23" s="20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3">
      <c r="A43" s="19" t="s">
        <v>39</v>
      </c>
      <c r="B43" s="19" t="s">
        <v>0</v>
      </c>
      <c r="C43" s="19"/>
      <c r="D43" s="19"/>
      <c r="E43" s="19"/>
      <c r="F43" s="19"/>
    </row>
    <row r="44">
      <c r="A44" s="22" t="s">
        <v>40</v>
      </c>
      <c r="B44" s="20" t="s">
        <v>16</v>
      </c>
      <c r="C44" s="20" t="s">
        <v>24</v>
      </c>
      <c r="D44" s="20" t="s">
        <v>14</v>
      </c>
      <c r="E44" s="20" t="s">
        <v>13</v>
      </c>
      <c r="F44" s="20" t="s">
        <v>35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</row>
    <row r="45">
      <c r="A45" s="23" t="s">
        <v>41</v>
      </c>
      <c r="B45" s="13">
        <v>46000.0</v>
      </c>
      <c r="C45" s="19"/>
      <c r="D45" s="13">
        <v>114999.99999999999</v>
      </c>
      <c r="E45" s="13">
        <v>770499.9999999999</v>
      </c>
      <c r="F45" s="13">
        <v>931499.9999999999</v>
      </c>
    </row>
    <row r="46">
      <c r="A46" s="23" t="s">
        <v>42</v>
      </c>
      <c r="B46" s="13">
        <v>46000.0</v>
      </c>
      <c r="C46" s="19"/>
      <c r="D46" s="13">
        <v>114999.99999999999</v>
      </c>
      <c r="E46" s="13">
        <v>655500.0</v>
      </c>
      <c r="F46" s="13">
        <v>816500.0</v>
      </c>
    </row>
    <row r="47">
      <c r="A47" s="23" t="s">
        <v>43</v>
      </c>
      <c r="B47" s="13">
        <v>46000.0</v>
      </c>
      <c r="C47" s="19"/>
      <c r="D47" s="13">
        <v>114999.99999999999</v>
      </c>
      <c r="E47" s="13">
        <v>655500.0</v>
      </c>
      <c r="F47" s="13">
        <v>816500.0</v>
      </c>
    </row>
    <row r="48">
      <c r="A48" s="23" t="s">
        <v>44</v>
      </c>
      <c r="B48" s="13">
        <v>57499.99999999999</v>
      </c>
      <c r="C48" s="19"/>
      <c r="D48" s="13">
        <v>114999.99999999999</v>
      </c>
      <c r="E48" s="13">
        <v>586500.0</v>
      </c>
      <c r="F48" s="13">
        <v>759000.0</v>
      </c>
    </row>
    <row r="49">
      <c r="A49" s="23" t="s">
        <v>45</v>
      </c>
      <c r="B49" s="13">
        <v>57499.99999999999</v>
      </c>
      <c r="C49" s="19"/>
      <c r="D49" s="13">
        <v>114999.99999999999</v>
      </c>
      <c r="E49" s="13">
        <v>586500.0</v>
      </c>
      <c r="F49" s="13">
        <v>759000.0</v>
      </c>
    </row>
    <row r="50">
      <c r="A50" s="23" t="s">
        <v>46</v>
      </c>
      <c r="B50" s="13">
        <v>57499.99999999999</v>
      </c>
      <c r="C50" s="19"/>
      <c r="D50" s="13">
        <v>114999.99999999999</v>
      </c>
      <c r="E50" s="13">
        <v>626750.0</v>
      </c>
      <c r="F50" s="13">
        <v>799250.0</v>
      </c>
    </row>
    <row r="51">
      <c r="A51" s="23" t="s">
        <v>47</v>
      </c>
      <c r="B51" s="13">
        <v>57499.99999999999</v>
      </c>
      <c r="C51" s="19"/>
      <c r="D51" s="13">
        <v>114999.99999999999</v>
      </c>
      <c r="E51" s="13">
        <v>626750.0</v>
      </c>
      <c r="F51" s="13">
        <v>799250.0</v>
      </c>
    </row>
    <row r="52">
      <c r="A52" s="23" t="s">
        <v>48</v>
      </c>
      <c r="B52" s="13">
        <v>69000.0</v>
      </c>
      <c r="C52" s="19"/>
      <c r="D52" s="13">
        <v>114999.99999999999</v>
      </c>
      <c r="E52" s="13">
        <v>661250.0</v>
      </c>
      <c r="F52" s="13">
        <v>845250.0</v>
      </c>
    </row>
    <row r="53">
      <c r="A53" s="23" t="s">
        <v>49</v>
      </c>
      <c r="B53" s="13">
        <v>69000.0</v>
      </c>
      <c r="C53" s="19"/>
      <c r="D53" s="13">
        <v>114999.99999999999</v>
      </c>
      <c r="E53" s="13">
        <v>661250.0</v>
      </c>
      <c r="F53" s="13">
        <v>845250.0</v>
      </c>
    </row>
    <row r="54">
      <c r="A54" s="23" t="s">
        <v>50</v>
      </c>
      <c r="B54" s="13">
        <v>69000.0</v>
      </c>
      <c r="C54" s="13">
        <v>57499.99999999999</v>
      </c>
      <c r="D54" s="13">
        <v>114999.99999999999</v>
      </c>
      <c r="E54" s="13">
        <v>695750.0</v>
      </c>
      <c r="F54" s="13">
        <v>937250.0</v>
      </c>
    </row>
    <row r="55">
      <c r="A55" s="23" t="s">
        <v>51</v>
      </c>
      <c r="B55" s="13">
        <v>69000.0</v>
      </c>
      <c r="C55" s="19"/>
      <c r="D55" s="13">
        <v>114999.99999999999</v>
      </c>
      <c r="E55" s="13">
        <v>695750.0</v>
      </c>
      <c r="F55" s="13">
        <v>879750.0</v>
      </c>
    </row>
    <row r="56">
      <c r="A56" s="23" t="s">
        <v>52</v>
      </c>
      <c r="B56" s="13">
        <v>57499.99999999999</v>
      </c>
      <c r="C56" s="13">
        <v>34500.0</v>
      </c>
      <c r="D56" s="13">
        <v>114999.99999999999</v>
      </c>
      <c r="E56" s="13">
        <v>667000.0</v>
      </c>
      <c r="F56" s="13">
        <v>874000.0</v>
      </c>
    </row>
    <row r="57">
      <c r="A57" s="23" t="s">
        <v>53</v>
      </c>
      <c r="B57" s="13">
        <v>57499.99999999999</v>
      </c>
      <c r="C57" s="13">
        <v>92000.0</v>
      </c>
      <c r="D57" s="13">
        <v>114999.99999999999</v>
      </c>
      <c r="E57" s="13">
        <v>552000.0</v>
      </c>
      <c r="F57" s="13">
        <v>816500.0</v>
      </c>
    </row>
    <row r="58">
      <c r="A58" s="23" t="s">
        <v>54</v>
      </c>
      <c r="B58" s="13">
        <v>57499.99999999999</v>
      </c>
      <c r="C58" s="13">
        <v>34500.0</v>
      </c>
      <c r="D58" s="13">
        <v>114999.99999999999</v>
      </c>
      <c r="E58" s="13">
        <v>592250.0</v>
      </c>
      <c r="F58" s="13">
        <v>799250.0</v>
      </c>
    </row>
    <row r="59">
      <c r="A59" s="23" t="s">
        <v>55</v>
      </c>
      <c r="B59" s="13">
        <v>57499.99999999999</v>
      </c>
      <c r="C59" s="13">
        <v>80500.0</v>
      </c>
      <c r="D59" s="13">
        <v>114999.99999999999</v>
      </c>
      <c r="E59" s="13">
        <v>546250.0</v>
      </c>
      <c r="F59" s="13">
        <v>799250.0</v>
      </c>
    </row>
    <row r="60">
      <c r="A60" s="19" t="s">
        <v>35</v>
      </c>
      <c r="B60" s="13">
        <v>874000.0</v>
      </c>
      <c r="C60" s="13">
        <v>299000.0</v>
      </c>
      <c r="D60" s="13">
        <v>1724999.9999999998</v>
      </c>
      <c r="E60" s="13">
        <v>9579500.0</v>
      </c>
      <c r="F60" s="13">
        <v>1.24775E7</v>
      </c>
    </row>
    <row r="80"/>
    <row r="81"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</row>
    <row r="82"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</row>
    <row r="83"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</row>
    <row r="84"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</row>
    <row r="85"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</row>
    <row r="86">
      <c r="D86" s="22"/>
      <c r="E86" s="22"/>
      <c r="F86" s="22"/>
      <c r="G86" s="22"/>
      <c r="H86" s="22"/>
      <c r="I86" s="22"/>
      <c r="J86" s="26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</row>
    <row r="87"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</row>
    <row r="88"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</row>
    <row r="89"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</row>
    <row r="90"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</row>
    <row r="91"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</row>
    <row r="92"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</row>
    <row r="93"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</row>
    <row r="94"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</row>
    <row r="95"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</row>
    <row r="96"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9">
      <c r="B119" s="13"/>
      <c r="C119" s="13"/>
      <c r="D119" s="13"/>
    </row>
    <row r="120">
      <c r="B120" s="13"/>
      <c r="C120" s="13"/>
      <c r="D120" s="13"/>
    </row>
    <row r="121">
      <c r="B121" s="13"/>
      <c r="C121" s="13"/>
      <c r="D121" s="13"/>
    </row>
    <row r="122">
      <c r="B122" s="13"/>
      <c r="C122" s="13"/>
      <c r="D122" s="13"/>
    </row>
    <row r="123">
      <c r="B123" s="13"/>
      <c r="C123" s="13"/>
      <c r="D123" s="13"/>
    </row>
    <row r="124">
      <c r="B124" s="13"/>
      <c r="C124" s="13"/>
      <c r="D124" s="13"/>
    </row>
    <row r="125">
      <c r="B125" s="13"/>
      <c r="C125" s="13"/>
      <c r="D125" s="13"/>
    </row>
    <row r="126">
      <c r="B126" s="13"/>
      <c r="C126" s="13"/>
      <c r="D126" s="13"/>
    </row>
    <row r="127">
      <c r="B127" s="13"/>
      <c r="C127" s="13"/>
      <c r="D127" s="13"/>
    </row>
    <row r="128">
      <c r="B128" s="13"/>
      <c r="C128" s="13"/>
      <c r="D128" s="13"/>
    </row>
    <row r="129">
      <c r="B129" s="13"/>
      <c r="C129" s="13"/>
      <c r="D129" s="13"/>
    </row>
    <row r="130">
      <c r="B130" s="13"/>
      <c r="C130" s="13"/>
      <c r="D130" s="13"/>
    </row>
    <row r="131">
      <c r="B131" s="13"/>
      <c r="C131" s="13"/>
      <c r="D131" s="13"/>
    </row>
    <row r="132">
      <c r="B132" s="13"/>
      <c r="C132" s="13"/>
      <c r="D132" s="13"/>
    </row>
    <row r="133">
      <c r="B133" s="13"/>
      <c r="C133" s="13"/>
      <c r="D133" s="13"/>
    </row>
    <row r="134">
      <c r="B134" s="13"/>
      <c r="C134" s="13"/>
      <c r="D134" s="13"/>
    </row>
    <row r="135">
      <c r="B135" s="13"/>
      <c r="C135" s="13"/>
      <c r="D135" s="13"/>
    </row>
    <row r="138">
      <c r="A138" s="20"/>
    </row>
    <row r="139">
      <c r="A139" s="22"/>
      <c r="B139" s="13"/>
      <c r="C139" s="13"/>
    </row>
    <row r="140">
      <c r="A140" s="22"/>
      <c r="B140" s="13"/>
      <c r="C140" s="13"/>
    </row>
    <row r="141">
      <c r="A141" s="22"/>
      <c r="B141" s="13"/>
      <c r="C141" s="13"/>
    </row>
    <row r="142">
      <c r="A142" s="22"/>
      <c r="B142" s="13"/>
      <c r="C142" s="13"/>
    </row>
    <row r="143">
      <c r="A143" s="22"/>
      <c r="B143" s="13"/>
      <c r="C143" s="13"/>
    </row>
    <row r="144">
      <c r="A144" s="22"/>
      <c r="B144" s="13"/>
      <c r="C144" s="13"/>
    </row>
    <row r="145">
      <c r="A145" s="22"/>
      <c r="B145" s="13"/>
      <c r="C145" s="13"/>
    </row>
    <row r="146">
      <c r="A146" s="22"/>
      <c r="B146" s="13"/>
      <c r="C146" s="13"/>
    </row>
    <row r="147">
      <c r="A147" s="22"/>
      <c r="B147" s="13"/>
      <c r="C147" s="13"/>
    </row>
    <row r="148">
      <c r="A148" s="22"/>
      <c r="B148" s="13"/>
      <c r="C148" s="13"/>
    </row>
    <row r="149">
      <c r="A149" s="22"/>
      <c r="B149" s="13"/>
      <c r="C149" s="13"/>
    </row>
    <row r="150">
      <c r="A150" s="22"/>
      <c r="B150" s="13"/>
      <c r="C150" s="13"/>
    </row>
    <row r="151">
      <c r="A151" s="22"/>
      <c r="B151" s="13"/>
      <c r="C151" s="13"/>
    </row>
    <row r="152">
      <c r="A152" s="22"/>
      <c r="B152" s="13"/>
      <c r="C152" s="13"/>
    </row>
    <row r="153">
      <c r="A153" s="22"/>
      <c r="B153" s="13"/>
      <c r="C153" s="13"/>
    </row>
    <row r="154">
      <c r="B154" s="13"/>
      <c r="C154" s="13"/>
    </row>
    <row r="155">
      <c r="B155" s="27"/>
    </row>
    <row r="156">
      <c r="B156" s="27"/>
    </row>
    <row r="157">
      <c r="B157" s="27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</sheetData>
  <drawing r:id="rId5"/>
</worksheet>
</file>